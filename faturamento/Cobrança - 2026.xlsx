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nya\Documents\locacoes\faturamento\"/>
    </mc:Choice>
  </mc:AlternateContent>
  <xr:revisionPtr revIDLastSave="0" documentId="13_ncr:1_{DEE355C5-098A-42B2-9E1F-E909A8089A7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Valores" sheetId="1" r:id="rId1"/>
    <sheet name="Cobrança 02.2026" sheetId="2" r:id="rId2"/>
    <sheet name="Planilha1" sheetId="3" state="hidden" r:id="rId3"/>
    <sheet name="CONT 02-2025" sheetId="4" state="hidden" r:id="rId4"/>
    <sheet name="02-2025" sheetId="5" state="hidden" r:id="rId5"/>
  </sheets>
  <definedNames>
    <definedName name="_xlnm._FilterDatabase" localSheetId="4" hidden="1">'02-2025'!$B$4:$P$18</definedName>
    <definedName name="_xlnm._FilterDatabase" localSheetId="1" hidden="1">'Cobrança 02.2026'!$A$1:$M$31</definedName>
    <definedName name="_xlnm._FilterDatabase" localSheetId="3" hidden="1">'CONT 02-2025'!$B$4:$K$17</definedName>
    <definedName name="_xlnm._FilterDatabase" localSheetId="2" hidden="1">Planilha1!$B$4:$K$4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5" l="1"/>
  <c r="J18" i="5"/>
  <c r="N18" i="5" s="1"/>
  <c r="N17" i="5"/>
  <c r="L17" i="5"/>
  <c r="J17" i="5"/>
  <c r="L16" i="5"/>
  <c r="J16" i="5"/>
  <c r="N16" i="5" s="1"/>
  <c r="N15" i="5"/>
  <c r="L15" i="5"/>
  <c r="J15" i="5"/>
  <c r="L14" i="5"/>
  <c r="J14" i="5"/>
  <c r="N14" i="5" s="1"/>
  <c r="N13" i="5"/>
  <c r="L13" i="5"/>
  <c r="J13" i="5"/>
  <c r="L12" i="5"/>
  <c r="J12" i="5"/>
  <c r="N12" i="5" s="1"/>
  <c r="N11" i="5"/>
  <c r="L11" i="5"/>
  <c r="J11" i="5"/>
  <c r="L10" i="5"/>
  <c r="J10" i="5"/>
  <c r="N10" i="5" s="1"/>
  <c r="N9" i="5"/>
  <c r="L9" i="5"/>
  <c r="J9" i="5"/>
  <c r="L8" i="5"/>
  <c r="J8" i="5"/>
  <c r="N8" i="5" s="1"/>
  <c r="N7" i="5"/>
  <c r="L7" i="5"/>
  <c r="J7" i="5"/>
  <c r="L6" i="5"/>
  <c r="J6" i="5"/>
  <c r="N6" i="5" s="1"/>
  <c r="N5" i="5"/>
  <c r="L5" i="5"/>
  <c r="J5" i="5"/>
  <c r="H17" i="4"/>
  <c r="J17" i="4" s="1"/>
  <c r="G17" i="4"/>
  <c r="J16" i="4"/>
  <c r="H16" i="4"/>
  <c r="G16" i="4"/>
  <c r="H15" i="4"/>
  <c r="J15" i="4" s="1"/>
  <c r="G15" i="4"/>
  <c r="J14" i="4"/>
  <c r="H14" i="4"/>
  <c r="G14" i="4"/>
  <c r="H13" i="4"/>
  <c r="J13" i="4" s="1"/>
  <c r="G13" i="4"/>
  <c r="J12" i="4"/>
  <c r="H12" i="4"/>
  <c r="G12" i="4"/>
  <c r="H11" i="4"/>
  <c r="J11" i="4" s="1"/>
  <c r="G11" i="4"/>
  <c r="J10" i="4"/>
  <c r="H10" i="4"/>
  <c r="G10" i="4"/>
  <c r="H9" i="4"/>
  <c r="J9" i="4" s="1"/>
  <c r="G9" i="4"/>
  <c r="J8" i="4"/>
  <c r="H8" i="4"/>
  <c r="G8" i="4"/>
  <c r="H7" i="4"/>
  <c r="J7" i="4" s="1"/>
  <c r="G7" i="4"/>
  <c r="J6" i="4"/>
  <c r="H6" i="4"/>
  <c r="G6" i="4"/>
  <c r="H5" i="4"/>
  <c r="J5" i="4" s="1"/>
  <c r="G5" i="4"/>
  <c r="J17" i="3"/>
  <c r="H17" i="3"/>
  <c r="G17" i="3"/>
  <c r="H16" i="3"/>
  <c r="J16" i="3" s="1"/>
  <c r="G16" i="3"/>
  <c r="J15" i="3"/>
  <c r="H15" i="3"/>
  <c r="G15" i="3"/>
  <c r="H14" i="3"/>
  <c r="J14" i="3" s="1"/>
  <c r="G14" i="3"/>
  <c r="J13" i="3"/>
  <c r="H13" i="3"/>
  <c r="G13" i="3"/>
  <c r="H12" i="3"/>
  <c r="J12" i="3" s="1"/>
  <c r="G12" i="3"/>
  <c r="J11" i="3"/>
  <c r="H11" i="3"/>
  <c r="G11" i="3"/>
  <c r="H10" i="3"/>
  <c r="J10" i="3" s="1"/>
  <c r="G10" i="3"/>
  <c r="J9" i="3"/>
  <c r="H9" i="3"/>
  <c r="G9" i="3"/>
  <c r="H8" i="3"/>
  <c r="J8" i="3" s="1"/>
  <c r="G8" i="3"/>
  <c r="J7" i="3"/>
  <c r="H7" i="3"/>
  <c r="G7" i="3"/>
  <c r="H6" i="3"/>
  <c r="J6" i="3" s="1"/>
  <c r="G6" i="3"/>
  <c r="J5" i="3"/>
  <c r="H5" i="3"/>
  <c r="G5" i="3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4" i="2"/>
  <c r="M4" i="2" s="1"/>
  <c r="L3" i="2"/>
  <c r="M3" i="2" s="1"/>
  <c r="L2" i="2"/>
  <c r="M2" i="2" s="1"/>
</calcChain>
</file>

<file path=xl/sharedStrings.xml><?xml version="1.0" encoding="utf-8"?>
<sst xmlns="http://schemas.openxmlformats.org/spreadsheetml/2006/main" count="555" uniqueCount="220">
  <si>
    <t>MODELO</t>
  </si>
  <si>
    <t>VALOR MENSAL</t>
  </si>
  <si>
    <t>CONTAINER DOBRÁVEL</t>
  </si>
  <si>
    <t>POLO</t>
  </si>
  <si>
    <t>CONTAINER BANHEIRO</t>
  </si>
  <si>
    <t>SAVEIRO</t>
  </si>
  <si>
    <t>GERADOR</t>
  </si>
  <si>
    <t>EMPILHADEIRA</t>
  </si>
  <si>
    <t>TITANO</t>
  </si>
  <si>
    <t>TRITON</t>
  </si>
  <si>
    <t>AMBULÂNCIA</t>
  </si>
  <si>
    <t>RETRO ESCAVADEIRA</t>
  </si>
  <si>
    <t>ÔNIBUS 4X4</t>
  </si>
  <si>
    <t>ÔNIBUS</t>
  </si>
  <si>
    <t>CAMINHÃO MUNCK</t>
  </si>
  <si>
    <t>GUINDASTE</t>
  </si>
  <si>
    <t>AMBULÂNCIA 4X4</t>
  </si>
  <si>
    <t>FILIAL</t>
  </si>
  <si>
    <t>OS</t>
  </si>
  <si>
    <t>NOMECLATURA</t>
  </si>
  <si>
    <t>Nº FROTA</t>
  </si>
  <si>
    <t>TIPO DO VEICULO</t>
  </si>
  <si>
    <t>ANO</t>
  </si>
  <si>
    <t>PLACA/CHASSI</t>
  </si>
  <si>
    <t>MÊS</t>
  </si>
  <si>
    <t>INICIO</t>
  </si>
  <si>
    <t>FIM</t>
  </si>
  <si>
    <t>DIAS</t>
  </si>
  <si>
    <t>A COBRAR</t>
  </si>
  <si>
    <t>LOCADORA EXEMPLO LOCAÇÕES</t>
  </si>
  <si>
    <t>OS29764</t>
  </si>
  <si>
    <t>VEICULO</t>
  </si>
  <si>
    <t>F8308</t>
  </si>
  <si>
    <t>Modelo Beta</t>
  </si>
  <si>
    <t>XRD-5505</t>
  </si>
  <si>
    <t>OS73562</t>
  </si>
  <si>
    <t>F1072</t>
  </si>
  <si>
    <t>BTR-1554</t>
  </si>
  <si>
    <t>OS36300</t>
  </si>
  <si>
    <t>MAQUINA</t>
  </si>
  <si>
    <t>F4553</t>
  </si>
  <si>
    <t>Modelo Alpha</t>
  </si>
  <si>
    <t>BWP-5672</t>
  </si>
  <si>
    <t>OS79928</t>
  </si>
  <si>
    <t>F8537</t>
  </si>
  <si>
    <t>Modelo Delta</t>
  </si>
  <si>
    <t>XPI-3031</t>
  </si>
  <si>
    <t>OS26049</t>
  </si>
  <si>
    <t>F3737</t>
  </si>
  <si>
    <t>Modelo Gamma</t>
  </si>
  <si>
    <t>KMY-9061</t>
  </si>
  <si>
    <t>OS64863</t>
  </si>
  <si>
    <t>F2118</t>
  </si>
  <si>
    <t>Modelo Sigma</t>
  </si>
  <si>
    <t>WTH-0247</t>
  </si>
  <si>
    <t>OS32874</t>
  </si>
  <si>
    <t>F7985</t>
  </si>
  <si>
    <t>NYU-6998</t>
  </si>
  <si>
    <t>OS59793</t>
  </si>
  <si>
    <t>EQUIPAMENTO</t>
  </si>
  <si>
    <t>F7379</t>
  </si>
  <si>
    <t>MHA-8161</t>
  </si>
  <si>
    <t>OS84482</t>
  </si>
  <si>
    <t>F9550</t>
  </si>
  <si>
    <t>IZC-6711</t>
  </si>
  <si>
    <t>OS40750</t>
  </si>
  <si>
    <t>F9939</t>
  </si>
  <si>
    <t>DJR-4951</t>
  </si>
  <si>
    <t>OS43558</t>
  </si>
  <si>
    <t>F9036</t>
  </si>
  <si>
    <t>HAK-5342</t>
  </si>
  <si>
    <t>OS63390</t>
  </si>
  <si>
    <t>F9119</t>
  </si>
  <si>
    <t>ADM-0270</t>
  </si>
  <si>
    <t>OS41821</t>
  </si>
  <si>
    <t>F2495</t>
  </si>
  <si>
    <t>TCS-9566</t>
  </si>
  <si>
    <t>OS86889</t>
  </si>
  <si>
    <t>F3555</t>
  </si>
  <si>
    <t>YWO-3501</t>
  </si>
  <si>
    <t>OS77295</t>
  </si>
  <si>
    <t>F4764</t>
  </si>
  <si>
    <t>NKZ-6535</t>
  </si>
  <si>
    <t>OS79545</t>
  </si>
  <si>
    <t>F2414</t>
  </si>
  <si>
    <t>TBV-2447</t>
  </si>
  <si>
    <t>OS20194</t>
  </si>
  <si>
    <t>F4667</t>
  </si>
  <si>
    <t>TKM-0114</t>
  </si>
  <si>
    <t>OS92944</t>
  </si>
  <si>
    <t>F9224</t>
  </si>
  <si>
    <t>RYE-7021</t>
  </si>
  <si>
    <t>OS94046</t>
  </si>
  <si>
    <t>F6173</t>
  </si>
  <si>
    <t>TNC-2874</t>
  </si>
  <si>
    <t>OS80929</t>
  </si>
  <si>
    <t>F9243</t>
  </si>
  <si>
    <t>LTA-3851</t>
  </si>
  <si>
    <t>OS68860</t>
  </si>
  <si>
    <t>F3017</t>
  </si>
  <si>
    <t>VDZ-4382</t>
  </si>
  <si>
    <t>OS49574</t>
  </si>
  <si>
    <t>F2219</t>
  </si>
  <si>
    <t>CCK-8709</t>
  </si>
  <si>
    <t>OS26681</t>
  </si>
  <si>
    <t>F3896</t>
  </si>
  <si>
    <t>SSQ-3792</t>
  </si>
  <si>
    <t>OS78683</t>
  </si>
  <si>
    <t>F5643</t>
  </si>
  <si>
    <t>MPA-3589</t>
  </si>
  <si>
    <t>OS37035</t>
  </si>
  <si>
    <t>F9076</t>
  </si>
  <si>
    <t>LVF-0019</t>
  </si>
  <si>
    <t>OS65823</t>
  </si>
  <si>
    <t>F1387</t>
  </si>
  <si>
    <t>YPC-4237</t>
  </si>
  <si>
    <t>OS37664</t>
  </si>
  <si>
    <t>F6962</t>
  </si>
  <si>
    <t>NQO-2870</t>
  </si>
  <si>
    <t>OS84240</t>
  </si>
  <si>
    <t>F1206</t>
  </si>
  <si>
    <t>ITX-7884</t>
  </si>
  <si>
    <t>OS41867</t>
  </si>
  <si>
    <t>F1692</t>
  </si>
  <si>
    <t>PUO-4007</t>
  </si>
  <si>
    <t>OS29733</t>
  </si>
  <si>
    <t>F4195</t>
  </si>
  <si>
    <t>KLX-4569</t>
  </si>
  <si>
    <t>OS72977</t>
  </si>
  <si>
    <t>CONTAINER</t>
  </si>
  <si>
    <t>AME-7630</t>
  </si>
  <si>
    <t>OS90855</t>
  </si>
  <si>
    <t>HGL-6091</t>
  </si>
  <si>
    <t>OS54367</t>
  </si>
  <si>
    <t>GLX-0158</t>
  </si>
  <si>
    <t>OS81732</t>
  </si>
  <si>
    <t>ZFZ-0998</t>
  </si>
  <si>
    <t>OS13361</t>
  </si>
  <si>
    <t>CYF-9328</t>
  </si>
  <si>
    <t>OS18306</t>
  </si>
  <si>
    <t>AFX-0006</t>
  </si>
  <si>
    <t>OS38747</t>
  </si>
  <si>
    <t>KTB-9351</t>
  </si>
  <si>
    <t>OS70372</t>
  </si>
  <si>
    <t>ESB-5622</t>
  </si>
  <si>
    <t>OS33758</t>
  </si>
  <si>
    <t>UWL-2924</t>
  </si>
  <si>
    <t>OS70649</t>
  </si>
  <si>
    <t>IAW-1768</t>
  </si>
  <si>
    <t>OS14900</t>
  </si>
  <si>
    <t>QDJ-0047</t>
  </si>
  <si>
    <t>OS77092</t>
  </si>
  <si>
    <t>EAS-3802</t>
  </si>
  <si>
    <t>OS51463</t>
  </si>
  <si>
    <t>DJX-0949</t>
  </si>
  <si>
    <t>OS72764</t>
  </si>
  <si>
    <t>VMY-8867</t>
  </si>
  <si>
    <t>OS79558</t>
  </si>
  <si>
    <t>PCP-9649</t>
  </si>
  <si>
    <t>OS57272</t>
  </si>
  <si>
    <t>EEL-6499</t>
  </si>
  <si>
    <t>OS47423</t>
  </si>
  <si>
    <t>XAE-4013</t>
  </si>
  <si>
    <t>OS46432</t>
  </si>
  <si>
    <t>EWV-4574</t>
  </si>
  <si>
    <t>OS21988</t>
  </si>
  <si>
    <t>DCF-3155</t>
  </si>
  <si>
    <t>MÊS 05/2025</t>
  </si>
  <si>
    <t>ITEM</t>
  </si>
  <si>
    <t>INICIO DE LOCAÇÃO</t>
  </si>
  <si>
    <t>TERMINO</t>
  </si>
  <si>
    <t>VALOR DIA</t>
  </si>
  <si>
    <t>VALOR A COBRAR</t>
  </si>
  <si>
    <t>VALOR DE MERCADO</t>
  </si>
  <si>
    <t>LOCADORA EXEMPLO LOCAÇÕES DE EQUIPAMENTOS</t>
  </si>
  <si>
    <t>OS 989</t>
  </si>
  <si>
    <t>CONTAINER DOBRAVEL</t>
  </si>
  <si>
    <t>OS 996</t>
  </si>
  <si>
    <t>OS 990</t>
  </si>
  <si>
    <t>OS 993</t>
  </si>
  <si>
    <t>MÊS 02/2025</t>
  </si>
  <si>
    <t>OS 994</t>
  </si>
  <si>
    <t>HODOMETRO / HORIMETRO</t>
  </si>
  <si>
    <t>ANO FABRICAÇÃO</t>
  </si>
  <si>
    <t>OS 955</t>
  </si>
  <si>
    <t>EEL1915</t>
  </si>
  <si>
    <t>VW/SAVEIRO CS RB MF</t>
  </si>
  <si>
    <t>SAQ-3H53</t>
  </si>
  <si>
    <t>OS 981</t>
  </si>
  <si>
    <t>EEL1996</t>
  </si>
  <si>
    <t>CAMINHÃO GUINDASTE SANY 70T</t>
  </si>
  <si>
    <t>EEL1894</t>
  </si>
  <si>
    <t>VW/POLO TRACK MA</t>
  </si>
  <si>
    <t>SBC-1G02</t>
  </si>
  <si>
    <t>EEL1916</t>
  </si>
  <si>
    <t>RETRO 3CX TURBO</t>
  </si>
  <si>
    <t>S0R3CXTTER3423145</t>
  </si>
  <si>
    <t>EEL1917</t>
  </si>
  <si>
    <t>S0R3CXTTLR3423076</t>
  </si>
  <si>
    <t>EEL1913</t>
  </si>
  <si>
    <t>SAQ-5C03</t>
  </si>
  <si>
    <t>OS 985</t>
  </si>
  <si>
    <t>EEL1893</t>
  </si>
  <si>
    <t>SBB-4F12</t>
  </si>
  <si>
    <t>EEL2006</t>
  </si>
  <si>
    <t>ONIBUS</t>
  </si>
  <si>
    <t>VW/MPOLO TORINO U</t>
  </si>
  <si>
    <t>EQS-4J69</t>
  </si>
  <si>
    <t>EEL1890</t>
  </si>
  <si>
    <t>SBC-6F82</t>
  </si>
  <si>
    <t>EEL1918</t>
  </si>
  <si>
    <t>S0R3CXTTER3423064</t>
  </si>
  <si>
    <t>EEL1914</t>
  </si>
  <si>
    <t>SAQ-6G03</t>
  </si>
  <si>
    <t>EEL2071</t>
  </si>
  <si>
    <t>VOLVO/MASCA GRANVIAMD U</t>
  </si>
  <si>
    <t>LMU-4E23</t>
  </si>
  <si>
    <t>EEL1953</t>
  </si>
  <si>
    <t>VW/26.260 CRM 6X2</t>
  </si>
  <si>
    <t>TIH-3F79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</si>
</sst>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Calibri Light"/>
      <family val="2"/>
    </font>
    <font>
      <b/>
      <u/>
      <sz val="18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44" fontId="2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44" fontId="2" fillId="0" borderId="1" xfId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4" fontId="2" fillId="0" borderId="2" xfId="1" applyFont="1" applyBorder="1" applyAlignment="1">
      <alignment horizontal="center" vertical="center"/>
    </xf>
    <xf numFmtId="44" fontId="2" fillId="0" borderId="3" xfId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44" fontId="2" fillId="3" borderId="2" xfId="1" applyFont="1" applyFill="1" applyBorder="1" applyAlignment="1">
      <alignment horizontal="center" vertical="center"/>
    </xf>
    <xf numFmtId="44" fontId="2" fillId="3" borderId="3" xfId="1" applyFont="1" applyFill="1" applyBorder="1" applyAlignment="1">
      <alignment horizontal="center" vertical="center"/>
    </xf>
    <xf numFmtId="44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44" fontId="2" fillId="3" borderId="1" xfId="0" applyNumberFormat="1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14" fontId="0" fillId="0" borderId="0" xfId="0" applyNumberFormat="1"/>
    <xf numFmtId="14" fontId="2" fillId="0" borderId="4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/>
    <xf numFmtId="0" fontId="0" fillId="0" borderId="5" xfId="0" applyBorder="1"/>
    <xf numFmtId="0" fontId="3" fillId="0" borderId="5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C7:G20"/>
  <sheetViews>
    <sheetView topLeftCell="A4" workbookViewId="0">
      <selection activeCell="D10" sqref="D10"/>
    </sheetView>
  </sheetViews>
  <sheetFormatPr defaultRowHeight="15" x14ac:dyDescent="0.25"/>
  <cols>
    <col min="3" max="3" width="22.5703125" bestFit="1" customWidth="1"/>
    <col min="4" max="4" width="15.28515625" bestFit="1" customWidth="1"/>
    <col min="6" max="6" width="20.5703125" bestFit="1" customWidth="1"/>
    <col min="7" max="7" width="15.28515625" bestFit="1" customWidth="1"/>
  </cols>
  <sheetData>
    <row r="7" spans="3:7" ht="15.6" customHeight="1" x14ac:dyDescent="0.25">
      <c r="C7" s="23" t="s">
        <v>0</v>
      </c>
      <c r="D7" s="23" t="s">
        <v>1</v>
      </c>
      <c r="F7" s="23" t="s">
        <v>0</v>
      </c>
      <c r="G7" s="23" t="s">
        <v>1</v>
      </c>
    </row>
    <row r="8" spans="3:7" ht="15.6" customHeight="1" x14ac:dyDescent="0.25">
      <c r="C8" s="24" t="s">
        <v>2</v>
      </c>
      <c r="D8" s="25">
        <v>1000</v>
      </c>
      <c r="F8" s="24" t="s">
        <v>3</v>
      </c>
      <c r="G8" s="25">
        <v>4000</v>
      </c>
    </row>
    <row r="9" spans="3:7" ht="15.6" customHeight="1" x14ac:dyDescent="0.25">
      <c r="C9" s="24" t="s">
        <v>4</v>
      </c>
      <c r="D9" s="25">
        <v>1900</v>
      </c>
      <c r="F9" s="24" t="s">
        <v>5</v>
      </c>
      <c r="G9" s="25">
        <v>3900</v>
      </c>
    </row>
    <row r="10" spans="3:7" ht="15.6" customHeight="1" x14ac:dyDescent="0.25">
      <c r="F10" s="24" t="s">
        <v>6</v>
      </c>
      <c r="G10" s="25">
        <v>6500</v>
      </c>
    </row>
    <row r="11" spans="3:7" ht="15.6" customHeight="1" x14ac:dyDescent="0.25">
      <c r="F11" s="24" t="s">
        <v>7</v>
      </c>
      <c r="G11" s="25">
        <v>9000</v>
      </c>
    </row>
    <row r="12" spans="3:7" ht="15.6" customHeight="1" x14ac:dyDescent="0.25">
      <c r="F12" s="24" t="s">
        <v>8</v>
      </c>
      <c r="G12" s="25">
        <v>5500</v>
      </c>
    </row>
    <row r="13" spans="3:7" ht="15.6" customHeight="1" x14ac:dyDescent="0.25">
      <c r="F13" s="24" t="s">
        <v>9</v>
      </c>
      <c r="G13" s="25">
        <v>6000</v>
      </c>
    </row>
    <row r="14" spans="3:7" ht="15.6" customHeight="1" x14ac:dyDescent="0.25">
      <c r="F14" s="24" t="s">
        <v>10</v>
      </c>
      <c r="G14" s="25">
        <v>5000</v>
      </c>
    </row>
    <row r="15" spans="3:7" ht="15.6" customHeight="1" x14ac:dyDescent="0.25">
      <c r="F15" s="24" t="s">
        <v>11</v>
      </c>
      <c r="G15" s="25">
        <v>13000</v>
      </c>
    </row>
    <row r="16" spans="3:7" ht="15.6" customHeight="1" x14ac:dyDescent="0.25">
      <c r="F16" s="24" t="s">
        <v>12</v>
      </c>
      <c r="G16" s="25">
        <v>16000</v>
      </c>
    </row>
    <row r="17" spans="6:7" ht="15.6" customHeight="1" x14ac:dyDescent="0.25">
      <c r="F17" s="24" t="s">
        <v>13</v>
      </c>
      <c r="G17" s="25">
        <v>14000</v>
      </c>
    </row>
    <row r="18" spans="6:7" ht="15.6" customHeight="1" x14ac:dyDescent="0.25">
      <c r="F18" s="24" t="s">
        <v>14</v>
      </c>
      <c r="G18" s="25">
        <v>23000</v>
      </c>
    </row>
    <row r="19" spans="6:7" ht="15.6" customHeight="1" x14ac:dyDescent="0.25">
      <c r="F19" s="24" t="s">
        <v>15</v>
      </c>
      <c r="G19" s="25">
        <v>65000</v>
      </c>
    </row>
    <row r="20" spans="6:7" ht="15.6" customHeight="1" x14ac:dyDescent="0.25">
      <c r="F20" s="24" t="s">
        <v>16</v>
      </c>
      <c r="G20" s="2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"/>
  <sheetViews>
    <sheetView showGridLines="0" tabSelected="1" topLeftCell="E37" zoomScaleNormal="100" workbookViewId="0">
      <selection activeCell="F43" sqref="F43"/>
    </sheetView>
  </sheetViews>
  <sheetFormatPr defaultRowHeight="15" x14ac:dyDescent="0.25"/>
  <cols>
    <col min="1" max="1" width="36.140625" style="5" bestFit="1" customWidth="1"/>
    <col min="2" max="2" width="15" style="33" bestFit="1" customWidth="1"/>
    <col min="3" max="3" width="21.7109375" style="33" bestFit="1" customWidth="1"/>
    <col min="4" max="4" width="17.85546875" style="5" customWidth="1"/>
    <col min="5" max="5" width="27" style="39" customWidth="1"/>
    <col min="6" max="6" width="46" style="40" bestFit="1" customWidth="1"/>
    <col min="7" max="7" width="11.140625" bestFit="1" customWidth="1"/>
    <col min="8" max="8" width="23.85546875" style="39" bestFit="1" customWidth="1"/>
    <col min="9" max="9" width="14.28515625" customWidth="1"/>
    <col min="10" max="11" width="15.7109375" style="27" customWidth="1"/>
    <col min="12" max="12" width="14.28515625" customWidth="1"/>
    <col min="13" max="13" width="15.7109375" style="38" bestFit="1" customWidth="1"/>
  </cols>
  <sheetData>
    <row r="1" spans="1:13" ht="15.6" customHeight="1" x14ac:dyDescent="0.25">
      <c r="A1" s="2" t="s">
        <v>17</v>
      </c>
      <c r="B1" s="30" t="s">
        <v>18</v>
      </c>
      <c r="C1" s="30" t="s">
        <v>19</v>
      </c>
      <c r="D1" s="2" t="s">
        <v>20</v>
      </c>
      <c r="E1" s="30" t="s">
        <v>21</v>
      </c>
      <c r="F1" s="30" t="s">
        <v>0</v>
      </c>
      <c r="G1" s="2" t="s">
        <v>22</v>
      </c>
      <c r="H1" s="30" t="s">
        <v>23</v>
      </c>
      <c r="I1" s="2" t="s">
        <v>24</v>
      </c>
      <c r="J1" s="28" t="s">
        <v>25</v>
      </c>
      <c r="K1" s="28" t="s">
        <v>26</v>
      </c>
      <c r="L1" s="26" t="s">
        <v>27</v>
      </c>
      <c r="M1" s="34" t="s">
        <v>28</v>
      </c>
    </row>
    <row r="2" spans="1:13" ht="15.6" customHeight="1" x14ac:dyDescent="0.25">
      <c r="A2" s="2" t="s">
        <v>29</v>
      </c>
      <c r="B2" s="30" t="s">
        <v>30</v>
      </c>
      <c r="C2" s="30" t="s">
        <v>31</v>
      </c>
      <c r="D2" s="2" t="s">
        <v>32</v>
      </c>
      <c r="E2" s="30" t="s">
        <v>3</v>
      </c>
      <c r="F2" s="30" t="s">
        <v>33</v>
      </c>
      <c r="G2" s="2">
        <v>2025</v>
      </c>
      <c r="H2" s="30" t="s">
        <v>34</v>
      </c>
      <c r="I2" s="2">
        <v>12</v>
      </c>
      <c r="J2" s="9">
        <v>46023</v>
      </c>
      <c r="K2" s="9">
        <v>46053</v>
      </c>
      <c r="L2" s="2">
        <f t="shared" ref="L2:L33" si="0">K2 - J2</f>
        <v>30</v>
      </c>
      <c r="M2" s="35">
        <f>IF(L2=30,
_xlfn.XLOOKUP(E2,Valores!$F$8:$F$20,Valores!$G$8:$G$20),
(_xlfn.XLOOKUP(E2,Valores!$F$8:$F$20,Valores!$G$8:$G$20)/30)*L2
)</f>
        <v>4000</v>
      </c>
    </row>
    <row r="3" spans="1:13" ht="15.6" customHeight="1" x14ac:dyDescent="0.25">
      <c r="A3" s="2" t="s">
        <v>29</v>
      </c>
      <c r="B3" s="30" t="s">
        <v>35</v>
      </c>
      <c r="C3" s="30" t="s">
        <v>31</v>
      </c>
      <c r="D3" s="2" t="s">
        <v>36</v>
      </c>
      <c r="E3" s="30" t="s">
        <v>3</v>
      </c>
      <c r="F3" s="30" t="s">
        <v>33</v>
      </c>
      <c r="G3" s="2">
        <v>2024</v>
      </c>
      <c r="H3" s="30" t="s">
        <v>37</v>
      </c>
      <c r="I3" s="2">
        <v>12</v>
      </c>
      <c r="J3" s="9">
        <v>46023</v>
      </c>
      <c r="K3" s="9">
        <v>46053</v>
      </c>
      <c r="L3" s="2">
        <f t="shared" si="0"/>
        <v>30</v>
      </c>
      <c r="M3" s="35">
        <f>IF(L3=30,
_xlfn.XLOOKUP(E3,Valores!$F$8:$F$20,Valores!$G$8:$G$20),
(_xlfn.XLOOKUP(E3,Valores!$F$8:$F$20,Valores!$G$8:$G$20)/30)*L3
)</f>
        <v>4000</v>
      </c>
    </row>
    <row r="4" spans="1:13" ht="15.6" customHeight="1" x14ac:dyDescent="0.25">
      <c r="A4" s="2" t="s">
        <v>29</v>
      </c>
      <c r="B4" s="30" t="s">
        <v>38</v>
      </c>
      <c r="C4" s="30" t="s">
        <v>39</v>
      </c>
      <c r="D4" s="2" t="s">
        <v>40</v>
      </c>
      <c r="E4" s="30" t="s">
        <v>7</v>
      </c>
      <c r="F4" s="30" t="s">
        <v>41</v>
      </c>
      <c r="G4" s="2">
        <v>2025</v>
      </c>
      <c r="H4" s="30" t="s">
        <v>42</v>
      </c>
      <c r="I4" s="2">
        <v>12</v>
      </c>
      <c r="J4" s="9">
        <v>46023</v>
      </c>
      <c r="K4" s="9">
        <v>46053</v>
      </c>
      <c r="L4" s="2">
        <f t="shared" si="0"/>
        <v>30</v>
      </c>
      <c r="M4" s="35">
        <f>IF(L4=30,
_xlfn.XLOOKUP(E4,Valores!$F$8:$F$20,Valores!$G$8:$G$20),
(_xlfn.XLOOKUP(E4,Valores!$F$8:$F$20,Valores!$G$8:$G$20)/30)*L4
)</f>
        <v>9000</v>
      </c>
    </row>
    <row r="5" spans="1:13" ht="15.6" customHeight="1" x14ac:dyDescent="0.25">
      <c r="A5" s="2" t="s">
        <v>29</v>
      </c>
      <c r="B5" s="30" t="s">
        <v>43</v>
      </c>
      <c r="C5" s="30" t="s">
        <v>31</v>
      </c>
      <c r="D5" s="2" t="s">
        <v>44</v>
      </c>
      <c r="E5" s="30" t="s">
        <v>3</v>
      </c>
      <c r="F5" s="30" t="s">
        <v>45</v>
      </c>
      <c r="G5" s="2">
        <v>2024</v>
      </c>
      <c r="H5" s="30" t="s">
        <v>46</v>
      </c>
      <c r="I5" s="2">
        <v>12</v>
      </c>
      <c r="J5" s="9">
        <v>46023</v>
      </c>
      <c r="K5" s="9">
        <v>46053</v>
      </c>
      <c r="L5" s="2">
        <f t="shared" si="0"/>
        <v>30</v>
      </c>
      <c r="M5" s="35">
        <f>IF(L5=30,
_xlfn.XLOOKUP(E5,Valores!$F$8:$F$20,Valores!$G$8:$G$20),
(_xlfn.XLOOKUP(E5,Valores!$F$8:$F$20,Valores!$G$8:$G$20)/30)*L5
)</f>
        <v>4000</v>
      </c>
    </row>
    <row r="6" spans="1:13" ht="15.6" customHeight="1" x14ac:dyDescent="0.25">
      <c r="A6" s="2" t="s">
        <v>29</v>
      </c>
      <c r="B6" s="30" t="s">
        <v>47</v>
      </c>
      <c r="C6" s="30" t="s">
        <v>31</v>
      </c>
      <c r="D6" s="2" t="s">
        <v>48</v>
      </c>
      <c r="E6" s="30" t="s">
        <v>3</v>
      </c>
      <c r="F6" s="30" t="s">
        <v>49</v>
      </c>
      <c r="G6" s="2">
        <v>2024</v>
      </c>
      <c r="H6" s="30" t="s">
        <v>50</v>
      </c>
      <c r="I6" s="2">
        <v>12</v>
      </c>
      <c r="J6" s="9">
        <v>46023</v>
      </c>
      <c r="K6" s="9">
        <v>46053</v>
      </c>
      <c r="L6" s="2">
        <f t="shared" si="0"/>
        <v>30</v>
      </c>
      <c r="M6" s="35">
        <f>IF(L6=30,
_xlfn.XLOOKUP(E6,Valores!$F$8:$F$20,Valores!$G$8:$G$20),
(_xlfn.XLOOKUP(E6,Valores!$F$8:$F$20,Valores!$G$8:$G$20)/30)*L6
)</f>
        <v>4000</v>
      </c>
    </row>
    <row r="7" spans="1:13" ht="15.6" customHeight="1" x14ac:dyDescent="0.25">
      <c r="A7" s="2" t="s">
        <v>29</v>
      </c>
      <c r="B7" s="30" t="s">
        <v>51</v>
      </c>
      <c r="C7" s="30" t="s">
        <v>31</v>
      </c>
      <c r="D7" s="2" t="s">
        <v>52</v>
      </c>
      <c r="E7" s="30" t="s">
        <v>10</v>
      </c>
      <c r="F7" s="30" t="s">
        <v>53</v>
      </c>
      <c r="G7" s="2">
        <v>2022</v>
      </c>
      <c r="H7" s="30" t="s">
        <v>54</v>
      </c>
      <c r="I7" s="2">
        <v>12</v>
      </c>
      <c r="J7" s="9">
        <v>46023</v>
      </c>
      <c r="K7" s="9">
        <v>46053</v>
      </c>
      <c r="L7" s="2">
        <f t="shared" si="0"/>
        <v>30</v>
      </c>
      <c r="M7" s="35">
        <f>IF(L7=30,
_xlfn.XLOOKUP(E7,Valores!$F$8:$F$20,Valores!$G$8:$G$20),
(_xlfn.XLOOKUP(E7,Valores!$F$8:$F$20,Valores!$G$8:$G$20)/30)*L7
)</f>
        <v>5000</v>
      </c>
    </row>
    <row r="8" spans="1:13" ht="15.6" customHeight="1" x14ac:dyDescent="0.25">
      <c r="A8" s="2" t="s">
        <v>29</v>
      </c>
      <c r="B8" s="30" t="s">
        <v>55</v>
      </c>
      <c r="C8" s="30" t="s">
        <v>31</v>
      </c>
      <c r="D8" s="2" t="s">
        <v>56</v>
      </c>
      <c r="E8" s="30" t="s">
        <v>14</v>
      </c>
      <c r="F8" s="30" t="s">
        <v>33</v>
      </c>
      <c r="G8" s="2">
        <v>2024</v>
      </c>
      <c r="H8" s="30" t="s">
        <v>57</v>
      </c>
      <c r="I8" s="2">
        <v>12</v>
      </c>
      <c r="J8" s="9">
        <v>46037</v>
      </c>
      <c r="K8" s="9">
        <v>46047</v>
      </c>
      <c r="L8" s="2">
        <f t="shared" si="0"/>
        <v>10</v>
      </c>
      <c r="M8" s="35">
        <f>IF(L8=30,
_xlfn.XLOOKUP(E8,Valores!$F$8:$F$20,Valores!$G$8:$G$20),
(_xlfn.XLOOKUP(E8,Valores!$F$8:$F$20,Valores!$G$8:$G$20)/30)*L8
)</f>
        <v>7666.6666666666661</v>
      </c>
    </row>
    <row r="9" spans="1:13" ht="15.6" customHeight="1" x14ac:dyDescent="0.25">
      <c r="A9" s="2" t="s">
        <v>29</v>
      </c>
      <c r="B9" s="30" t="s">
        <v>58</v>
      </c>
      <c r="C9" s="30" t="s">
        <v>59</v>
      </c>
      <c r="D9" s="2" t="s">
        <v>60</v>
      </c>
      <c r="E9" s="30" t="s">
        <v>6</v>
      </c>
      <c r="F9" s="30" t="s">
        <v>53</v>
      </c>
      <c r="G9" s="2"/>
      <c r="H9" s="30" t="s">
        <v>61</v>
      </c>
      <c r="I9" s="2">
        <v>12</v>
      </c>
      <c r="J9" s="9">
        <v>46023</v>
      </c>
      <c r="K9" s="9">
        <v>46053</v>
      </c>
      <c r="L9" s="2">
        <f t="shared" si="0"/>
        <v>30</v>
      </c>
      <c r="M9" s="35">
        <f>IF(L9=30,
_xlfn.XLOOKUP(E9,Valores!$F$8:$F$20,Valores!$G$8:$G$20),
(_xlfn.XLOOKUP(E9,Valores!$F$8:$F$20,Valores!$G$8:$G$20)/30)*L9
)</f>
        <v>6500</v>
      </c>
    </row>
    <row r="10" spans="1:13" ht="15.6" customHeight="1" x14ac:dyDescent="0.25">
      <c r="A10" s="2" t="s">
        <v>29</v>
      </c>
      <c r="B10" s="30" t="s">
        <v>62</v>
      </c>
      <c r="C10" s="30" t="s">
        <v>39</v>
      </c>
      <c r="D10" s="2" t="s">
        <v>63</v>
      </c>
      <c r="E10" s="30" t="s">
        <v>11</v>
      </c>
      <c r="F10" s="30" t="s">
        <v>41</v>
      </c>
      <c r="G10" s="2">
        <v>2024</v>
      </c>
      <c r="H10" s="41" t="s">
        <v>64</v>
      </c>
      <c r="I10" s="2">
        <v>12</v>
      </c>
      <c r="J10" s="9">
        <v>46023</v>
      </c>
      <c r="K10" s="9">
        <v>46053</v>
      </c>
      <c r="L10" s="2">
        <f t="shared" si="0"/>
        <v>30</v>
      </c>
      <c r="M10" s="35">
        <f>IF(L10=30,
_xlfn.XLOOKUP(E10,Valores!$F$8:$F$20,Valores!$G$8:$G$20),
(_xlfn.XLOOKUP(E10,Valores!$F$8:$F$20,Valores!$G$8:$G$20)/30)*L10
)</f>
        <v>13000</v>
      </c>
    </row>
    <row r="11" spans="1:13" ht="15.6" customHeight="1" x14ac:dyDescent="0.25">
      <c r="A11" s="2" t="s">
        <v>29</v>
      </c>
      <c r="B11" s="30" t="s">
        <v>65</v>
      </c>
      <c r="C11" s="30" t="s">
        <v>39</v>
      </c>
      <c r="D11" s="2" t="s">
        <v>66</v>
      </c>
      <c r="E11" s="30" t="s">
        <v>11</v>
      </c>
      <c r="F11" s="30" t="s">
        <v>53</v>
      </c>
      <c r="G11" s="2">
        <v>2024</v>
      </c>
      <c r="H11" s="30" t="s">
        <v>67</v>
      </c>
      <c r="I11" s="2">
        <v>12</v>
      </c>
      <c r="J11" s="9">
        <v>46023</v>
      </c>
      <c r="K11" s="9">
        <v>46053</v>
      </c>
      <c r="L11" s="2">
        <f t="shared" si="0"/>
        <v>30</v>
      </c>
      <c r="M11" s="35">
        <f>IF(L11=30,
_xlfn.XLOOKUP(E11,Valores!$F$8:$F$20,Valores!$G$8:$G$20),
(_xlfn.XLOOKUP(E11,Valores!$F$8:$F$20,Valores!$G$8:$G$20)/30)*L11
)</f>
        <v>13000</v>
      </c>
    </row>
    <row r="12" spans="1:13" ht="15.6" customHeight="1" x14ac:dyDescent="0.25">
      <c r="A12" s="2" t="s">
        <v>29</v>
      </c>
      <c r="B12" s="30" t="s">
        <v>68</v>
      </c>
      <c r="C12" s="30" t="s">
        <v>31</v>
      </c>
      <c r="D12" s="2" t="s">
        <v>69</v>
      </c>
      <c r="E12" s="30" t="s">
        <v>5</v>
      </c>
      <c r="F12" s="30" t="s">
        <v>53</v>
      </c>
      <c r="G12" s="2">
        <v>2024</v>
      </c>
      <c r="H12" s="30" t="s">
        <v>70</v>
      </c>
      <c r="I12" s="2">
        <v>12</v>
      </c>
      <c r="J12" s="9">
        <v>46023</v>
      </c>
      <c r="K12" s="9">
        <v>46053</v>
      </c>
      <c r="L12" s="2">
        <f t="shared" si="0"/>
        <v>30</v>
      </c>
      <c r="M12" s="35">
        <f>IF(L12=30,
_xlfn.XLOOKUP(E12,Valores!$F$8:$F$20,Valores!$G$8:$G$20),
(_xlfn.XLOOKUP(E12,Valores!$F$8:$F$20,Valores!$G$8:$G$20)/30)*L12
)</f>
        <v>3900</v>
      </c>
    </row>
    <row r="13" spans="1:13" ht="15.6" customHeight="1" x14ac:dyDescent="0.25">
      <c r="A13" s="2" t="s">
        <v>29</v>
      </c>
      <c r="B13" s="30" t="s">
        <v>71</v>
      </c>
      <c r="C13" s="30" t="s">
        <v>39</v>
      </c>
      <c r="D13" s="2" t="s">
        <v>72</v>
      </c>
      <c r="E13" s="30" t="s">
        <v>11</v>
      </c>
      <c r="F13" s="30" t="s">
        <v>49</v>
      </c>
      <c r="G13" s="2">
        <v>2025</v>
      </c>
      <c r="H13" s="30" t="s">
        <v>73</v>
      </c>
      <c r="I13" s="2">
        <v>12</v>
      </c>
      <c r="J13" s="9">
        <v>46023</v>
      </c>
      <c r="K13" s="9">
        <v>46053</v>
      </c>
      <c r="L13" s="2">
        <f t="shared" si="0"/>
        <v>30</v>
      </c>
      <c r="M13" s="35">
        <f>IF(L13=30,
_xlfn.XLOOKUP(E13,Valores!$F$8:$F$20,Valores!$G$8:$G$20),
(_xlfn.XLOOKUP(E13,Valores!$F$8:$F$20,Valores!$G$8:$G$20)/30)*L13
)</f>
        <v>13000</v>
      </c>
    </row>
    <row r="14" spans="1:13" ht="15.6" customHeight="1" x14ac:dyDescent="0.25">
      <c r="A14" s="2" t="s">
        <v>29</v>
      </c>
      <c r="B14" s="30" t="s">
        <v>74</v>
      </c>
      <c r="C14" s="30" t="s">
        <v>31</v>
      </c>
      <c r="D14" s="2" t="s">
        <v>75</v>
      </c>
      <c r="E14" s="30" t="s">
        <v>9</v>
      </c>
      <c r="F14" s="30" t="s">
        <v>53</v>
      </c>
      <c r="G14" s="2"/>
      <c r="H14" s="30" t="s">
        <v>76</v>
      </c>
      <c r="I14" s="2">
        <v>12</v>
      </c>
      <c r="J14" s="9">
        <v>46023</v>
      </c>
      <c r="K14" s="9">
        <v>46053</v>
      </c>
      <c r="L14" s="2">
        <f t="shared" si="0"/>
        <v>30</v>
      </c>
      <c r="M14" s="35">
        <f>IF(L14=30,
_xlfn.XLOOKUP(E14,Valores!$F$8:$F$20,Valores!$G$8:$G$20),
(_xlfn.XLOOKUP(E14,Valores!$F$8:$F$20,Valores!$G$8:$G$20)/30)*L14
)</f>
        <v>6000</v>
      </c>
    </row>
    <row r="15" spans="1:13" ht="15.6" customHeight="1" x14ac:dyDescent="0.25">
      <c r="A15" s="2" t="s">
        <v>29</v>
      </c>
      <c r="B15" s="30" t="s">
        <v>77</v>
      </c>
      <c r="C15" s="30" t="s">
        <v>31</v>
      </c>
      <c r="D15" s="2" t="s">
        <v>78</v>
      </c>
      <c r="E15" s="30" t="s">
        <v>8</v>
      </c>
      <c r="F15" s="30" t="s">
        <v>53</v>
      </c>
      <c r="G15" s="2">
        <v>2025</v>
      </c>
      <c r="H15" s="30" t="s">
        <v>79</v>
      </c>
      <c r="I15" s="2">
        <v>12</v>
      </c>
      <c r="J15" s="9">
        <v>46023</v>
      </c>
      <c r="K15" s="9">
        <v>46053</v>
      </c>
      <c r="L15" s="2">
        <f t="shared" si="0"/>
        <v>30</v>
      </c>
      <c r="M15" s="35">
        <f>IF(L15=30,
_xlfn.XLOOKUP(E15,Valores!$F$8:$F$20,Valores!$G$8:$G$20),
(_xlfn.XLOOKUP(E15,Valores!$F$8:$F$20,Valores!$G$8:$G$20)/30)*L15
)</f>
        <v>5500</v>
      </c>
    </row>
    <row r="16" spans="1:13" ht="15.6" customHeight="1" x14ac:dyDescent="0.25">
      <c r="A16" s="2" t="s">
        <v>29</v>
      </c>
      <c r="B16" s="30" t="s">
        <v>80</v>
      </c>
      <c r="C16" s="30" t="s">
        <v>31</v>
      </c>
      <c r="D16" s="2" t="s">
        <v>81</v>
      </c>
      <c r="E16" s="30" t="s">
        <v>3</v>
      </c>
      <c r="F16" s="30" t="s">
        <v>45</v>
      </c>
      <c r="G16" s="2">
        <v>2025</v>
      </c>
      <c r="H16" s="30" t="s">
        <v>82</v>
      </c>
      <c r="I16" s="2">
        <v>12</v>
      </c>
      <c r="J16" s="9">
        <v>46023</v>
      </c>
      <c r="K16" s="9">
        <v>46053</v>
      </c>
      <c r="L16" s="2">
        <f t="shared" si="0"/>
        <v>30</v>
      </c>
      <c r="M16" s="35">
        <f>IF(L16=30,
_xlfn.XLOOKUP(E16,Valores!$F$8:$F$20,Valores!$G$8:$G$20),
(_xlfn.XLOOKUP(E16,Valores!$F$8:$F$20,Valores!$G$8:$G$20)/30)*L16
)</f>
        <v>4000</v>
      </c>
    </row>
    <row r="17" spans="1:13" ht="15.6" customHeight="1" x14ac:dyDescent="0.25">
      <c r="A17" s="2" t="s">
        <v>29</v>
      </c>
      <c r="B17" s="30" t="s">
        <v>83</v>
      </c>
      <c r="C17" s="30" t="s">
        <v>39</v>
      </c>
      <c r="D17" s="2" t="s">
        <v>84</v>
      </c>
      <c r="E17" s="30" t="s">
        <v>11</v>
      </c>
      <c r="F17" s="30" t="s">
        <v>41</v>
      </c>
      <c r="G17" s="2">
        <v>2024</v>
      </c>
      <c r="H17" s="30" t="s">
        <v>85</v>
      </c>
      <c r="I17" s="2">
        <v>12</v>
      </c>
      <c r="J17" s="9">
        <v>46023</v>
      </c>
      <c r="K17" s="9">
        <v>46053</v>
      </c>
      <c r="L17" s="2">
        <f t="shared" si="0"/>
        <v>30</v>
      </c>
      <c r="M17" s="35">
        <f>IF(L17=30,
_xlfn.XLOOKUP(E17,Valores!$F$8:$F$20,Valores!$G$8:$G$20),
(_xlfn.XLOOKUP(E17,Valores!$F$8:$F$20,Valores!$G$8:$G$20)/30)*L17
)</f>
        <v>13000</v>
      </c>
    </row>
    <row r="18" spans="1:13" ht="15.6" customHeight="1" x14ac:dyDescent="0.25">
      <c r="A18" s="2" t="s">
        <v>29</v>
      </c>
      <c r="B18" s="30" t="s">
        <v>86</v>
      </c>
      <c r="C18" s="30" t="s">
        <v>31</v>
      </c>
      <c r="D18" s="2" t="s">
        <v>87</v>
      </c>
      <c r="E18" s="30" t="s">
        <v>5</v>
      </c>
      <c r="F18" s="30" t="s">
        <v>49</v>
      </c>
      <c r="G18" s="2">
        <v>2025</v>
      </c>
      <c r="H18" s="30" t="s">
        <v>88</v>
      </c>
      <c r="I18" s="2">
        <v>12</v>
      </c>
      <c r="J18" s="9">
        <v>46023</v>
      </c>
      <c r="K18" s="9">
        <v>46053</v>
      </c>
      <c r="L18" s="2">
        <f t="shared" si="0"/>
        <v>30</v>
      </c>
      <c r="M18" s="35">
        <f>IF(L18=30,
_xlfn.XLOOKUP(E18,Valores!$F$8:$F$20,Valores!$G$8:$G$20),
(_xlfn.XLOOKUP(E18,Valores!$F$8:$F$20,Valores!$G$8:$G$20)/30)*L18
)</f>
        <v>3900</v>
      </c>
    </row>
    <row r="19" spans="1:13" ht="15.6" customHeight="1" x14ac:dyDescent="0.25">
      <c r="A19" s="2" t="s">
        <v>29</v>
      </c>
      <c r="B19" s="30" t="s">
        <v>89</v>
      </c>
      <c r="C19" s="30" t="s">
        <v>31</v>
      </c>
      <c r="D19" s="2" t="s">
        <v>90</v>
      </c>
      <c r="E19" s="30" t="s">
        <v>5</v>
      </c>
      <c r="F19" s="30" t="s">
        <v>49</v>
      </c>
      <c r="G19" s="2">
        <v>2024</v>
      </c>
      <c r="H19" s="30" t="s">
        <v>91</v>
      </c>
      <c r="I19" s="2">
        <v>12</v>
      </c>
      <c r="J19" s="9">
        <v>46023</v>
      </c>
      <c r="K19" s="9">
        <v>46053</v>
      </c>
      <c r="L19" s="2">
        <f t="shared" si="0"/>
        <v>30</v>
      </c>
      <c r="M19" s="35">
        <f>IF(L19=30,
_xlfn.XLOOKUP(E19,Valores!$F$8:$F$20,Valores!$G$8:$G$20),
(_xlfn.XLOOKUP(E19,Valores!$F$8:$F$20,Valores!$G$8:$G$20)/30)*L19
)</f>
        <v>3900</v>
      </c>
    </row>
    <row r="20" spans="1:13" ht="15.6" customHeight="1" x14ac:dyDescent="0.25">
      <c r="A20" s="14" t="s">
        <v>29</v>
      </c>
      <c r="B20" s="31" t="s">
        <v>92</v>
      </c>
      <c r="C20" s="31" t="s">
        <v>31</v>
      </c>
      <c r="D20" s="14" t="s">
        <v>93</v>
      </c>
      <c r="E20" s="31" t="s">
        <v>12</v>
      </c>
      <c r="F20" s="31" t="s">
        <v>45</v>
      </c>
      <c r="G20" s="14">
        <v>2022</v>
      </c>
      <c r="H20" s="31" t="s">
        <v>94</v>
      </c>
      <c r="I20" s="14">
        <v>12</v>
      </c>
      <c r="J20" s="15"/>
      <c r="K20" s="15"/>
      <c r="L20" s="14">
        <f t="shared" si="0"/>
        <v>0</v>
      </c>
      <c r="M20" s="36">
        <f>IF(L20=30,
_xlfn.XLOOKUP(E20,Valores!$F$8:$F$20,Valores!$G$8:$G$20),
(_xlfn.XLOOKUP(E20,Valores!$F$8:$F$20,Valores!$G$8:$G$20)/30)*L20
)</f>
        <v>0</v>
      </c>
    </row>
    <row r="21" spans="1:13" ht="15.6" customHeight="1" x14ac:dyDescent="0.25">
      <c r="A21" s="14" t="s">
        <v>29</v>
      </c>
      <c r="B21" s="31" t="s">
        <v>95</v>
      </c>
      <c r="C21" s="31" t="s">
        <v>31</v>
      </c>
      <c r="D21" s="14" t="s">
        <v>96</v>
      </c>
      <c r="E21" s="31" t="s">
        <v>5</v>
      </c>
      <c r="F21" s="31" t="s">
        <v>33</v>
      </c>
      <c r="G21" s="14">
        <v>2024</v>
      </c>
      <c r="H21" s="31" t="s">
        <v>97</v>
      </c>
      <c r="I21" s="14">
        <v>12</v>
      </c>
      <c r="J21" s="15"/>
      <c r="K21" s="15"/>
      <c r="L21" s="14">
        <f t="shared" si="0"/>
        <v>0</v>
      </c>
      <c r="M21" s="36">
        <f>IF(L21=30,
_xlfn.XLOOKUP(E21,Valores!$F$8:$F$20,Valores!$G$8:$G$20),
(_xlfn.XLOOKUP(E21,Valores!$F$8:$F$20,Valores!$G$8:$G$20)/30)*L21
)</f>
        <v>0</v>
      </c>
    </row>
    <row r="22" spans="1:13" ht="15.6" customHeight="1" x14ac:dyDescent="0.25">
      <c r="A22" s="14" t="s">
        <v>29</v>
      </c>
      <c r="B22" s="31" t="s">
        <v>98</v>
      </c>
      <c r="C22" s="31" t="s">
        <v>31</v>
      </c>
      <c r="D22" s="14" t="s">
        <v>99</v>
      </c>
      <c r="E22" s="31" t="s">
        <v>15</v>
      </c>
      <c r="F22" s="31" t="s">
        <v>49</v>
      </c>
      <c r="G22" s="14">
        <v>2024</v>
      </c>
      <c r="H22" s="31" t="s">
        <v>100</v>
      </c>
      <c r="I22" s="14">
        <v>12</v>
      </c>
      <c r="J22" s="15"/>
      <c r="K22" s="15"/>
      <c r="L22" s="14">
        <f t="shared" si="0"/>
        <v>0</v>
      </c>
      <c r="M22" s="36">
        <f>IF(L22=30,
_xlfn.XLOOKUP(E22,Valores!$F$8:$F$20,Valores!$G$8:$G$20),
(_xlfn.XLOOKUP(E22,Valores!$F$8:$F$20,Valores!$G$8:$G$20)/30)*L22
)</f>
        <v>0</v>
      </c>
    </row>
    <row r="23" spans="1:13" ht="15.6" customHeight="1" x14ac:dyDescent="0.25">
      <c r="A23" s="14" t="s">
        <v>29</v>
      </c>
      <c r="B23" s="31" t="s">
        <v>101</v>
      </c>
      <c r="C23" s="31" t="s">
        <v>31</v>
      </c>
      <c r="D23" s="14" t="s">
        <v>102</v>
      </c>
      <c r="E23" s="31" t="s">
        <v>13</v>
      </c>
      <c r="F23" s="31" t="s">
        <v>33</v>
      </c>
      <c r="G23" s="14">
        <v>2019</v>
      </c>
      <c r="H23" s="31" t="s">
        <v>103</v>
      </c>
      <c r="I23" s="14">
        <v>12</v>
      </c>
      <c r="J23" s="15"/>
      <c r="K23" s="15"/>
      <c r="L23" s="14">
        <f t="shared" si="0"/>
        <v>0</v>
      </c>
      <c r="M23" s="36">
        <f>IF(L23=30,
_xlfn.XLOOKUP(E23,Valores!$F$8:$F$20,Valores!$G$8:$G$20),
(_xlfn.XLOOKUP(E23,Valores!$F$8:$F$20,Valores!$G$8:$G$20)/30)*L23
)</f>
        <v>0</v>
      </c>
    </row>
    <row r="24" spans="1:13" ht="15.6" customHeight="1" x14ac:dyDescent="0.25">
      <c r="A24" s="14" t="s">
        <v>29</v>
      </c>
      <c r="B24" s="31" t="s">
        <v>104</v>
      </c>
      <c r="C24" s="31" t="s">
        <v>31</v>
      </c>
      <c r="D24" s="14" t="s">
        <v>105</v>
      </c>
      <c r="E24" s="31" t="s">
        <v>13</v>
      </c>
      <c r="F24" s="31" t="s">
        <v>41</v>
      </c>
      <c r="G24" s="14">
        <v>2024</v>
      </c>
      <c r="H24" s="31" t="s">
        <v>106</v>
      </c>
      <c r="I24" s="14">
        <v>12</v>
      </c>
      <c r="J24" s="15"/>
      <c r="K24" s="15"/>
      <c r="L24" s="14">
        <f t="shared" si="0"/>
        <v>0</v>
      </c>
      <c r="M24" s="36">
        <f>IF(L24=30,
_xlfn.XLOOKUP(E24,Valores!$F$8:$F$20,Valores!$G$8:$G$20),
(_xlfn.XLOOKUP(E24,Valores!$F$8:$F$20,Valores!$G$8:$G$20)/30)*L24
)</f>
        <v>0</v>
      </c>
    </row>
    <row r="25" spans="1:13" ht="15.6" customHeight="1" x14ac:dyDescent="0.25">
      <c r="A25" s="14" t="s">
        <v>29</v>
      </c>
      <c r="B25" s="31" t="s">
        <v>107</v>
      </c>
      <c r="C25" s="31" t="s">
        <v>31</v>
      </c>
      <c r="D25" s="14" t="s">
        <v>108</v>
      </c>
      <c r="E25" s="31" t="s">
        <v>13</v>
      </c>
      <c r="F25" s="31" t="s">
        <v>41</v>
      </c>
      <c r="G25" s="14">
        <v>2019</v>
      </c>
      <c r="H25" s="31" t="s">
        <v>109</v>
      </c>
      <c r="I25" s="14">
        <v>12</v>
      </c>
      <c r="J25" s="15"/>
      <c r="K25" s="15"/>
      <c r="L25" s="14">
        <f t="shared" si="0"/>
        <v>0</v>
      </c>
      <c r="M25" s="36">
        <f>IF(L25=30,
_xlfn.XLOOKUP(E25,Valores!$F$8:$F$20,Valores!$G$8:$G$20),
(_xlfn.XLOOKUP(E25,Valores!$F$8:$F$20,Valores!$G$8:$G$20)/30)*L25
)</f>
        <v>0</v>
      </c>
    </row>
    <row r="26" spans="1:13" ht="15.6" customHeight="1" x14ac:dyDescent="0.25">
      <c r="A26" s="14" t="s">
        <v>29</v>
      </c>
      <c r="B26" s="31" t="s">
        <v>110</v>
      </c>
      <c r="C26" s="31" t="s">
        <v>39</v>
      </c>
      <c r="D26" s="14" t="s">
        <v>111</v>
      </c>
      <c r="E26" s="31" t="s">
        <v>11</v>
      </c>
      <c r="F26" s="31" t="s">
        <v>49</v>
      </c>
      <c r="G26" s="14">
        <v>2025</v>
      </c>
      <c r="H26" s="31" t="s">
        <v>112</v>
      </c>
      <c r="I26" s="14">
        <v>12</v>
      </c>
      <c r="J26" s="15"/>
      <c r="K26" s="15"/>
      <c r="L26" s="14">
        <f t="shared" si="0"/>
        <v>0</v>
      </c>
      <c r="M26" s="36">
        <f>IF(L26=30,
_xlfn.XLOOKUP(E26,Valores!$F$8:$F$20,Valores!$G$8:$G$20),
(_xlfn.XLOOKUP(E26,Valores!$F$8:$F$20,Valores!$G$8:$G$20)/30)*L26
)</f>
        <v>0</v>
      </c>
    </row>
    <row r="27" spans="1:13" ht="15.6" customHeight="1" x14ac:dyDescent="0.25">
      <c r="A27" s="14" t="s">
        <v>29</v>
      </c>
      <c r="B27" s="31" t="s">
        <v>113</v>
      </c>
      <c r="C27" s="31" t="s">
        <v>31</v>
      </c>
      <c r="D27" s="14" t="s">
        <v>114</v>
      </c>
      <c r="E27" s="31" t="s">
        <v>14</v>
      </c>
      <c r="F27" s="31" t="s">
        <v>49</v>
      </c>
      <c r="G27" s="14">
        <v>2024</v>
      </c>
      <c r="H27" s="31" t="s">
        <v>115</v>
      </c>
      <c r="I27" s="14">
        <v>12</v>
      </c>
      <c r="J27" s="15"/>
      <c r="K27" s="15"/>
      <c r="L27" s="14">
        <f t="shared" si="0"/>
        <v>0</v>
      </c>
      <c r="M27" s="36">
        <f>IF(L27=30,
_xlfn.XLOOKUP(E27,Valores!$F$8:$F$20,Valores!$G$8:$G$20),
(_xlfn.XLOOKUP(E27,Valores!$F$8:$F$20,Valores!$G$8:$G$20)/30)*L27
)</f>
        <v>0</v>
      </c>
    </row>
    <row r="28" spans="1:13" ht="15.6" customHeight="1" x14ac:dyDescent="0.25">
      <c r="A28" s="14" t="s">
        <v>29</v>
      </c>
      <c r="B28" s="31" t="s">
        <v>116</v>
      </c>
      <c r="C28" s="31" t="s">
        <v>31</v>
      </c>
      <c r="D28" s="14" t="s">
        <v>117</v>
      </c>
      <c r="E28" s="31" t="s">
        <v>13</v>
      </c>
      <c r="F28" s="31" t="s">
        <v>45</v>
      </c>
      <c r="G28" s="14">
        <v>2019</v>
      </c>
      <c r="H28" s="31" t="s">
        <v>118</v>
      </c>
      <c r="I28" s="14">
        <v>12</v>
      </c>
      <c r="J28" s="15"/>
      <c r="K28" s="15"/>
      <c r="L28" s="14">
        <f t="shared" si="0"/>
        <v>0</v>
      </c>
      <c r="M28" s="36">
        <f>IF(L28=30,
_xlfn.XLOOKUP(E28,Valores!$F$8:$F$20,Valores!$G$8:$G$20),
(_xlfn.XLOOKUP(E28,Valores!$F$8:$F$20,Valores!$G$8:$G$20)/30)*L28
)</f>
        <v>0</v>
      </c>
    </row>
    <row r="29" spans="1:13" ht="15.6" customHeight="1" x14ac:dyDescent="0.25">
      <c r="A29" s="14" t="s">
        <v>29</v>
      </c>
      <c r="B29" s="31" t="s">
        <v>119</v>
      </c>
      <c r="C29" s="31" t="s">
        <v>31</v>
      </c>
      <c r="D29" s="14" t="s">
        <v>120</v>
      </c>
      <c r="E29" s="31" t="s">
        <v>13</v>
      </c>
      <c r="F29" s="31" t="s">
        <v>33</v>
      </c>
      <c r="G29" s="14">
        <v>2019</v>
      </c>
      <c r="H29" s="31" t="s">
        <v>121</v>
      </c>
      <c r="I29" s="14">
        <v>12</v>
      </c>
      <c r="J29" s="15"/>
      <c r="K29" s="15"/>
      <c r="L29" s="14">
        <f t="shared" si="0"/>
        <v>0</v>
      </c>
      <c r="M29" s="36">
        <f>IF(L29=30,
_xlfn.XLOOKUP(E29,Valores!$F$8:$F$20,Valores!$G$8:$G$20),
(_xlfn.XLOOKUP(E29,Valores!$F$8:$F$20,Valores!$G$8:$G$20)/30)*L29
)</f>
        <v>0</v>
      </c>
    </row>
    <row r="30" spans="1:13" ht="15.6" customHeight="1" x14ac:dyDescent="0.25">
      <c r="A30" s="1" t="s">
        <v>29</v>
      </c>
      <c r="B30" s="32" t="s">
        <v>122</v>
      </c>
      <c r="C30" s="32" t="s">
        <v>31</v>
      </c>
      <c r="D30" s="1" t="s">
        <v>123</v>
      </c>
      <c r="E30" s="32" t="s">
        <v>5</v>
      </c>
      <c r="F30" s="32" t="s">
        <v>53</v>
      </c>
      <c r="G30" s="1">
        <v>2025</v>
      </c>
      <c r="H30" s="32" t="s">
        <v>124</v>
      </c>
      <c r="I30" s="1">
        <v>12</v>
      </c>
      <c r="J30" s="29"/>
      <c r="K30" s="29"/>
      <c r="L30" s="1">
        <f t="shared" si="0"/>
        <v>0</v>
      </c>
      <c r="M30" s="37">
        <f>IF(L30=30,
_xlfn.XLOOKUP(E30,Valores!$F$8:$F$20,Valores!$G$8:$G$20),
(_xlfn.XLOOKUP(E30,Valores!$F$8:$F$20,Valores!$G$8:$G$20)/30)*L30
)</f>
        <v>0</v>
      </c>
    </row>
    <row r="31" spans="1:13" ht="15.6" customHeight="1" x14ac:dyDescent="0.25">
      <c r="A31" s="1" t="s">
        <v>29</v>
      </c>
      <c r="B31" s="32" t="s">
        <v>125</v>
      </c>
      <c r="C31" s="32" t="s">
        <v>31</v>
      </c>
      <c r="D31" s="1" t="s">
        <v>126</v>
      </c>
      <c r="E31" s="32" t="s">
        <v>16</v>
      </c>
      <c r="F31" s="32" t="s">
        <v>45</v>
      </c>
      <c r="G31" s="1">
        <v>2025</v>
      </c>
      <c r="H31" s="32" t="s">
        <v>127</v>
      </c>
      <c r="I31" s="1">
        <v>12</v>
      </c>
      <c r="J31" s="29"/>
      <c r="K31" s="29"/>
      <c r="L31" s="1">
        <f t="shared" si="0"/>
        <v>0</v>
      </c>
      <c r="M31" s="37">
        <f>IF(L31=30,
_xlfn.XLOOKUP(E31,Valores!$F$8:$F$20,Valores!$G$8:$G$20),
(_xlfn.XLOOKUP(E31,Valores!$F$8:$F$20,Valores!$G$8:$G$20)/30)*L31
)</f>
        <v>0</v>
      </c>
    </row>
    <row r="32" spans="1:13" ht="15.6" customHeight="1" x14ac:dyDescent="0.25">
      <c r="A32" s="2" t="s">
        <v>29</v>
      </c>
      <c r="B32" s="30" t="s">
        <v>128</v>
      </c>
      <c r="C32" s="30" t="s">
        <v>129</v>
      </c>
      <c r="D32" s="2"/>
      <c r="E32" s="30" t="s">
        <v>4</v>
      </c>
      <c r="F32" s="30" t="s">
        <v>49</v>
      </c>
      <c r="G32" s="2"/>
      <c r="H32" s="30" t="s">
        <v>130</v>
      </c>
      <c r="I32" s="2">
        <v>12</v>
      </c>
      <c r="J32" s="9">
        <v>46023</v>
      </c>
      <c r="K32" s="9">
        <v>46053</v>
      </c>
      <c r="L32" s="2">
        <f t="shared" si="0"/>
        <v>30</v>
      </c>
      <c r="M32" s="35">
        <f>IF(L32=30,
_xlfn.XLOOKUP(E32,Valores!$C$8:$C$9,Valores!$D$8:$D$9),
(_xlfn.XLOOKUP(E32,Valores!$C$8:$C$9,Valores!$D$8:$D$9)/30)*L32
)</f>
        <v>1900</v>
      </c>
    </row>
    <row r="33" spans="1:13" ht="15.6" customHeight="1" x14ac:dyDescent="0.25">
      <c r="A33" s="2" t="s">
        <v>29</v>
      </c>
      <c r="B33" s="30" t="s">
        <v>131</v>
      </c>
      <c r="C33" s="30" t="s">
        <v>129</v>
      </c>
      <c r="D33" s="2"/>
      <c r="E33" s="30" t="s">
        <v>4</v>
      </c>
      <c r="F33" s="30" t="s">
        <v>53</v>
      </c>
      <c r="G33" s="2"/>
      <c r="H33" s="30" t="s">
        <v>132</v>
      </c>
      <c r="I33" s="2">
        <v>12</v>
      </c>
      <c r="J33" s="9">
        <v>46023</v>
      </c>
      <c r="K33" s="9">
        <v>46053</v>
      </c>
      <c r="L33" s="2">
        <f t="shared" si="0"/>
        <v>30</v>
      </c>
      <c r="M33" s="35">
        <f>IF(L33=30,
_xlfn.XLOOKUP(E33,Valores!$C$8:$C$9,Valores!$D$8:$D$9),
(_xlfn.XLOOKUP(E33,Valores!$C$8:$C$9,Valores!$D$8:$D$9)/30)*L33
)</f>
        <v>1900</v>
      </c>
    </row>
    <row r="34" spans="1:13" ht="15.6" customHeight="1" x14ac:dyDescent="0.25">
      <c r="A34" s="2" t="s">
        <v>29</v>
      </c>
      <c r="B34" s="30" t="s">
        <v>133</v>
      </c>
      <c r="C34" s="30" t="s">
        <v>129</v>
      </c>
      <c r="D34" s="2"/>
      <c r="E34" s="30" t="s">
        <v>2</v>
      </c>
      <c r="F34" s="30" t="s">
        <v>45</v>
      </c>
      <c r="G34" s="2"/>
      <c r="H34" s="30" t="s">
        <v>134</v>
      </c>
      <c r="I34" s="2">
        <v>12</v>
      </c>
      <c r="J34" s="9">
        <v>46023</v>
      </c>
      <c r="K34" s="9">
        <v>46053</v>
      </c>
      <c r="L34" s="2">
        <f t="shared" ref="L34:L50" si="1">K34 - J34</f>
        <v>30</v>
      </c>
      <c r="M34" s="35">
        <f>IF(L34=30,
_xlfn.XLOOKUP(E34,Valores!$C$8:$C$9,Valores!$D$8:$D$9),
(_xlfn.XLOOKUP(E34,Valores!$C$8:$C$9,Valores!$D$8:$D$9)/30)*L34
)</f>
        <v>1000</v>
      </c>
    </row>
    <row r="35" spans="1:13" ht="15.6" customHeight="1" x14ac:dyDescent="0.25">
      <c r="A35" s="2" t="s">
        <v>29</v>
      </c>
      <c r="B35" s="30" t="s">
        <v>135</v>
      </c>
      <c r="C35" s="30" t="s">
        <v>129</v>
      </c>
      <c r="D35" s="2"/>
      <c r="E35" s="30" t="s">
        <v>2</v>
      </c>
      <c r="F35" s="30" t="s">
        <v>49</v>
      </c>
      <c r="G35" s="2"/>
      <c r="H35" s="30" t="s">
        <v>136</v>
      </c>
      <c r="I35" s="2">
        <v>12</v>
      </c>
      <c r="J35" s="9">
        <v>46023</v>
      </c>
      <c r="K35" s="9">
        <v>46053</v>
      </c>
      <c r="L35" s="2">
        <f t="shared" si="1"/>
        <v>30</v>
      </c>
      <c r="M35" s="35">
        <f>IF(L35=30,
_xlfn.XLOOKUP(E35,Valores!$C$8:$C$9,Valores!$D$8:$D$9),
(_xlfn.XLOOKUP(E35,Valores!$C$8:$C$9,Valores!$D$8:$D$9)/30)*L35
)</f>
        <v>1000</v>
      </c>
    </row>
    <row r="36" spans="1:13" ht="15.6" customHeight="1" x14ac:dyDescent="0.25">
      <c r="A36" s="2" t="s">
        <v>29</v>
      </c>
      <c r="B36" s="30" t="s">
        <v>137</v>
      </c>
      <c r="C36" s="30" t="s">
        <v>129</v>
      </c>
      <c r="D36" s="2"/>
      <c r="E36" s="30" t="s">
        <v>2</v>
      </c>
      <c r="F36" s="30" t="s">
        <v>41</v>
      </c>
      <c r="G36" s="2"/>
      <c r="H36" s="30" t="s">
        <v>138</v>
      </c>
      <c r="I36" s="2">
        <v>12</v>
      </c>
      <c r="J36" s="9">
        <v>46023</v>
      </c>
      <c r="K36" s="9">
        <v>46053</v>
      </c>
      <c r="L36" s="2">
        <f t="shared" si="1"/>
        <v>30</v>
      </c>
      <c r="M36" s="35">
        <f>IF(L36=30,
_xlfn.XLOOKUP(E36,Valores!$C$8:$C$9,Valores!$D$8:$D$9),
(_xlfn.XLOOKUP(E36,Valores!$C$8:$C$9,Valores!$D$8:$D$9)/30)*L36
)</f>
        <v>1000</v>
      </c>
    </row>
    <row r="37" spans="1:13" ht="15.6" customHeight="1" x14ac:dyDescent="0.25">
      <c r="A37" s="2" t="s">
        <v>29</v>
      </c>
      <c r="B37" s="30" t="s">
        <v>139</v>
      </c>
      <c r="C37" s="30" t="s">
        <v>129</v>
      </c>
      <c r="D37" s="2"/>
      <c r="E37" s="30" t="s">
        <v>2</v>
      </c>
      <c r="F37" s="30" t="s">
        <v>41</v>
      </c>
      <c r="G37" s="2"/>
      <c r="H37" s="30" t="s">
        <v>140</v>
      </c>
      <c r="I37" s="2">
        <v>12</v>
      </c>
      <c r="J37" s="9">
        <v>46023</v>
      </c>
      <c r="K37" s="9">
        <v>46053</v>
      </c>
      <c r="L37" s="2">
        <f t="shared" si="1"/>
        <v>30</v>
      </c>
      <c r="M37" s="35">
        <f>IF(L37=30,
_xlfn.XLOOKUP(E37,Valores!$C$8:$C$9,Valores!$D$8:$D$9),
(_xlfn.XLOOKUP(E37,Valores!$C$8:$C$9,Valores!$D$8:$D$9)/30)*L37
)</f>
        <v>1000</v>
      </c>
    </row>
    <row r="38" spans="1:13" ht="15.6" customHeight="1" x14ac:dyDescent="0.25">
      <c r="A38" s="14" t="s">
        <v>29</v>
      </c>
      <c r="B38" s="31" t="s">
        <v>141</v>
      </c>
      <c r="C38" s="31" t="s">
        <v>129</v>
      </c>
      <c r="D38" s="14"/>
      <c r="E38" s="31" t="s">
        <v>2</v>
      </c>
      <c r="F38" s="31" t="s">
        <v>53</v>
      </c>
      <c r="G38" s="14"/>
      <c r="H38" s="31" t="s">
        <v>142</v>
      </c>
      <c r="I38" s="14">
        <v>12</v>
      </c>
      <c r="J38" s="15"/>
      <c r="K38" s="15"/>
      <c r="L38" s="14">
        <f t="shared" si="1"/>
        <v>0</v>
      </c>
      <c r="M38" s="35">
        <f>IF(L38=30,
_xlfn.XLOOKUP(E38,Valores!$C$8:$C$9,Valores!$D$8:$D$9),
(_xlfn.XLOOKUP(E38,Valores!$C$8:$C$9,Valores!$D$8:$D$9)/30)*L38
)</f>
        <v>0</v>
      </c>
    </row>
    <row r="39" spans="1:13" ht="15.6" customHeight="1" x14ac:dyDescent="0.25">
      <c r="A39" s="14" t="s">
        <v>29</v>
      </c>
      <c r="B39" s="31" t="s">
        <v>143</v>
      </c>
      <c r="C39" s="31" t="s">
        <v>129</v>
      </c>
      <c r="D39" s="14"/>
      <c r="E39" s="31" t="s">
        <v>2</v>
      </c>
      <c r="F39" s="31" t="s">
        <v>41</v>
      </c>
      <c r="G39" s="14"/>
      <c r="H39" s="31" t="s">
        <v>144</v>
      </c>
      <c r="I39" s="14">
        <v>12</v>
      </c>
      <c r="J39" s="15"/>
      <c r="K39" s="15"/>
      <c r="L39" s="14">
        <f t="shared" si="1"/>
        <v>0</v>
      </c>
      <c r="M39" s="35">
        <f>IF(L39=30,
_xlfn.XLOOKUP(E39,Valores!$C$8:$C$9,Valores!$D$8:$D$9),
(_xlfn.XLOOKUP(E39,Valores!$C$8:$C$9,Valores!$D$8:$D$9)/30)*L39
)</f>
        <v>0</v>
      </c>
    </row>
    <row r="40" spans="1:13" ht="15.6" customHeight="1" x14ac:dyDescent="0.25">
      <c r="A40" s="14" t="s">
        <v>29</v>
      </c>
      <c r="B40" s="31" t="s">
        <v>145</v>
      </c>
      <c r="C40" s="31" t="s">
        <v>129</v>
      </c>
      <c r="D40" s="14"/>
      <c r="E40" s="31" t="s">
        <v>2</v>
      </c>
      <c r="F40" s="31" t="s">
        <v>53</v>
      </c>
      <c r="G40" s="14"/>
      <c r="H40" s="31" t="s">
        <v>146</v>
      </c>
      <c r="I40" s="14">
        <v>12</v>
      </c>
      <c r="J40" s="15"/>
      <c r="K40" s="15"/>
      <c r="L40" s="14">
        <f t="shared" si="1"/>
        <v>0</v>
      </c>
      <c r="M40" s="35">
        <f>IF(L40=30,
_xlfn.XLOOKUP(E40,Valores!$C$8:$C$9,Valores!$D$8:$D$9),
(_xlfn.XLOOKUP(E40,Valores!$C$8:$C$9,Valores!$D$8:$D$9)/30)*L40
)</f>
        <v>0</v>
      </c>
    </row>
    <row r="41" spans="1:13" ht="15.6" customHeight="1" x14ac:dyDescent="0.25">
      <c r="A41" s="2" t="s">
        <v>29</v>
      </c>
      <c r="B41" s="30" t="s">
        <v>147</v>
      </c>
      <c r="C41" s="30" t="s">
        <v>129</v>
      </c>
      <c r="D41" s="2"/>
      <c r="E41" s="30" t="s">
        <v>4</v>
      </c>
      <c r="F41" s="30" t="s">
        <v>33</v>
      </c>
      <c r="G41" s="2"/>
      <c r="H41" s="30" t="s">
        <v>148</v>
      </c>
      <c r="I41" s="2">
        <v>12</v>
      </c>
      <c r="J41" s="9">
        <v>46023</v>
      </c>
      <c r="K41" s="9">
        <v>46053</v>
      </c>
      <c r="L41" s="2">
        <f t="shared" si="1"/>
        <v>30</v>
      </c>
      <c r="M41" s="35">
        <f>IF(L41=30,
_xlfn.XLOOKUP(E41,Valores!$C$8:$C$9,Valores!$D$8:$D$9),
(_xlfn.XLOOKUP(E41,Valores!$C$8:$C$9,Valores!$D$8:$D$9)/30)*L41
)</f>
        <v>1900</v>
      </c>
    </row>
    <row r="42" spans="1:13" ht="15.6" customHeight="1" x14ac:dyDescent="0.25">
      <c r="A42" s="2" t="s">
        <v>29</v>
      </c>
      <c r="B42" s="30" t="s">
        <v>149</v>
      </c>
      <c r="C42" s="30" t="s">
        <v>129</v>
      </c>
      <c r="D42" s="2"/>
      <c r="E42" s="30" t="s">
        <v>4</v>
      </c>
      <c r="F42" s="30" t="s">
        <v>49</v>
      </c>
      <c r="G42" s="2"/>
      <c r="H42" s="30" t="s">
        <v>150</v>
      </c>
      <c r="I42" s="2">
        <v>12</v>
      </c>
      <c r="J42" s="9">
        <v>46023</v>
      </c>
      <c r="K42" s="9">
        <v>46053</v>
      </c>
      <c r="L42" s="2">
        <f t="shared" si="1"/>
        <v>30</v>
      </c>
      <c r="M42" s="35">
        <f>IF(L42=30,
_xlfn.XLOOKUP(E42,Valores!$C$8:$C$9,Valores!$D$8:$D$9),
(_xlfn.XLOOKUP(E42,Valores!$C$8:$C$9,Valores!$D$8:$D$9)/30)*L42
)</f>
        <v>1900</v>
      </c>
    </row>
    <row r="43" spans="1:13" ht="15.6" customHeight="1" x14ac:dyDescent="0.25">
      <c r="A43" s="2" t="s">
        <v>29</v>
      </c>
      <c r="B43" s="30" t="s">
        <v>151</v>
      </c>
      <c r="C43" s="30" t="s">
        <v>129</v>
      </c>
      <c r="D43" s="2"/>
      <c r="E43" s="30" t="s">
        <v>2</v>
      </c>
      <c r="F43" s="30" t="s">
        <v>41</v>
      </c>
      <c r="G43" s="2"/>
      <c r="H43" s="30" t="s">
        <v>152</v>
      </c>
      <c r="I43" s="2">
        <v>12</v>
      </c>
      <c r="J43" s="9">
        <v>46023</v>
      </c>
      <c r="K43" s="9">
        <v>46053</v>
      </c>
      <c r="L43" s="2">
        <f t="shared" si="1"/>
        <v>30</v>
      </c>
      <c r="M43" s="35">
        <f>IF(L43=30,
_xlfn.XLOOKUP(E43,Valores!$C$8:$C$9,Valores!$D$8:$D$9),
(_xlfn.XLOOKUP(E43,Valores!$C$8:$C$9,Valores!$D$8:$D$9)/30)*L43
)</f>
        <v>1000</v>
      </c>
    </row>
    <row r="44" spans="1:13" ht="15.6" customHeight="1" x14ac:dyDescent="0.25">
      <c r="A44" s="2" t="s">
        <v>29</v>
      </c>
      <c r="B44" s="30" t="s">
        <v>153</v>
      </c>
      <c r="C44" s="30" t="s">
        <v>129</v>
      </c>
      <c r="D44" s="2"/>
      <c r="E44" s="30" t="s">
        <v>2</v>
      </c>
      <c r="F44" s="30" t="s">
        <v>33</v>
      </c>
      <c r="G44" s="2"/>
      <c r="H44" s="30" t="s">
        <v>154</v>
      </c>
      <c r="I44" s="2">
        <v>12</v>
      </c>
      <c r="J44" s="9">
        <v>46023</v>
      </c>
      <c r="K44" s="9">
        <v>46053</v>
      </c>
      <c r="L44" s="2">
        <f t="shared" si="1"/>
        <v>30</v>
      </c>
      <c r="M44" s="35">
        <f>IF(L44=30,
_xlfn.XLOOKUP(E44,Valores!$C$8:$C$9,Valores!$D$8:$D$9),
(_xlfn.XLOOKUP(E44,Valores!$C$8:$C$9,Valores!$D$8:$D$9)/30)*L44
)</f>
        <v>1000</v>
      </c>
    </row>
    <row r="45" spans="1:13" ht="15.6" customHeight="1" x14ac:dyDescent="0.25">
      <c r="A45" s="2" t="s">
        <v>29</v>
      </c>
      <c r="B45" s="30" t="s">
        <v>155</v>
      </c>
      <c r="C45" s="30" t="s">
        <v>129</v>
      </c>
      <c r="D45" s="2"/>
      <c r="E45" s="30" t="s">
        <v>2</v>
      </c>
      <c r="F45" s="30" t="s">
        <v>45</v>
      </c>
      <c r="G45" s="2"/>
      <c r="H45" s="30" t="s">
        <v>156</v>
      </c>
      <c r="I45" s="2">
        <v>12</v>
      </c>
      <c r="J45" s="9">
        <v>46023</v>
      </c>
      <c r="K45" s="9">
        <v>46053</v>
      </c>
      <c r="L45" s="2">
        <f t="shared" si="1"/>
        <v>30</v>
      </c>
      <c r="M45" s="35">
        <f>IF(L45=30,
_xlfn.XLOOKUP(E45,Valores!$C$8:$C$9,Valores!$D$8:$D$9),
(_xlfn.XLOOKUP(E45,Valores!$C$8:$C$9,Valores!$D$8:$D$9)/30)*L45
)</f>
        <v>1000</v>
      </c>
    </row>
    <row r="46" spans="1:13" ht="15.6" customHeight="1" x14ac:dyDescent="0.25">
      <c r="A46" s="2" t="s">
        <v>29</v>
      </c>
      <c r="B46" s="30" t="s">
        <v>157</v>
      </c>
      <c r="C46" s="30" t="s">
        <v>129</v>
      </c>
      <c r="D46" s="2"/>
      <c r="E46" s="30" t="s">
        <v>2</v>
      </c>
      <c r="F46" s="30" t="s">
        <v>45</v>
      </c>
      <c r="G46" s="2"/>
      <c r="H46" s="30" t="s">
        <v>158</v>
      </c>
      <c r="I46" s="2">
        <v>12</v>
      </c>
      <c r="J46" s="9">
        <v>46023</v>
      </c>
      <c r="K46" s="9">
        <v>46053</v>
      </c>
      <c r="L46" s="2">
        <f t="shared" si="1"/>
        <v>30</v>
      </c>
      <c r="M46" s="35">
        <f>IF(L46=30,
_xlfn.XLOOKUP(E46,Valores!$C$8:$C$9,Valores!$D$8:$D$9),
(_xlfn.XLOOKUP(E46,Valores!$C$8:$C$9,Valores!$D$8:$D$9)/30)*L46
)</f>
        <v>1000</v>
      </c>
    </row>
    <row r="47" spans="1:13" ht="15.6" customHeight="1" x14ac:dyDescent="0.25">
      <c r="A47" s="2" t="s">
        <v>29</v>
      </c>
      <c r="B47" s="30" t="s">
        <v>159</v>
      </c>
      <c r="C47" s="30" t="s">
        <v>129</v>
      </c>
      <c r="D47" s="2"/>
      <c r="E47" s="30" t="s">
        <v>2</v>
      </c>
      <c r="F47" s="30" t="s">
        <v>49</v>
      </c>
      <c r="G47" s="2"/>
      <c r="H47" s="30" t="s">
        <v>160</v>
      </c>
      <c r="I47" s="2">
        <v>12</v>
      </c>
      <c r="J47" s="9">
        <v>46023</v>
      </c>
      <c r="K47" s="9">
        <v>46053</v>
      </c>
      <c r="L47" s="2">
        <f t="shared" si="1"/>
        <v>30</v>
      </c>
      <c r="M47" s="35">
        <f>IF(L47=30,
_xlfn.XLOOKUP(E47,Valores!$C$8:$C$9,Valores!$D$8:$D$9),
(_xlfn.XLOOKUP(E47,Valores!$C$8:$C$9,Valores!$D$8:$D$9)/30)*L47
)</f>
        <v>1000</v>
      </c>
    </row>
    <row r="48" spans="1:13" ht="15.6" customHeight="1" x14ac:dyDescent="0.25">
      <c r="A48" s="2" t="s">
        <v>29</v>
      </c>
      <c r="B48" s="30" t="s">
        <v>161</v>
      </c>
      <c r="C48" s="30" t="s">
        <v>129</v>
      </c>
      <c r="D48" s="2"/>
      <c r="E48" s="30" t="s">
        <v>2</v>
      </c>
      <c r="F48" s="30" t="s">
        <v>53</v>
      </c>
      <c r="G48" s="2"/>
      <c r="H48" s="30" t="s">
        <v>162</v>
      </c>
      <c r="I48" s="2">
        <v>12</v>
      </c>
      <c r="J48" s="9">
        <v>46023</v>
      </c>
      <c r="K48" s="9">
        <v>46053</v>
      </c>
      <c r="L48" s="2">
        <f t="shared" si="1"/>
        <v>30</v>
      </c>
      <c r="M48" s="35">
        <f>IF(L48=30,
_xlfn.XLOOKUP(E48,Valores!$C$8:$C$9,Valores!$D$8:$D$9),
(_xlfn.XLOOKUP(E48,Valores!$C$8:$C$9,Valores!$D$8:$D$9)/30)*L48
)</f>
        <v>1000</v>
      </c>
    </row>
    <row r="49" spans="1:13" ht="15.6" customHeight="1" x14ac:dyDescent="0.25">
      <c r="A49" s="2" t="s">
        <v>29</v>
      </c>
      <c r="B49" s="30" t="s">
        <v>163</v>
      </c>
      <c r="C49" s="30" t="s">
        <v>129</v>
      </c>
      <c r="D49" s="2"/>
      <c r="E49" s="30" t="s">
        <v>2</v>
      </c>
      <c r="F49" s="30" t="s">
        <v>49</v>
      </c>
      <c r="G49" s="2"/>
      <c r="H49" s="30" t="s">
        <v>164</v>
      </c>
      <c r="I49" s="2">
        <v>12</v>
      </c>
      <c r="J49" s="9">
        <v>46023</v>
      </c>
      <c r="K49" s="9">
        <v>46053</v>
      </c>
      <c r="L49" s="2">
        <f t="shared" si="1"/>
        <v>30</v>
      </c>
      <c r="M49" s="35">
        <f>IF(L49=30,
_xlfn.XLOOKUP(E49,Valores!$C$8:$C$9,Valores!$D$8:$D$9),
(_xlfn.XLOOKUP(E49,Valores!$C$8:$C$9,Valores!$D$8:$D$9)/30)*L49
)</f>
        <v>1000</v>
      </c>
    </row>
    <row r="50" spans="1:13" ht="15.6" customHeight="1" x14ac:dyDescent="0.25">
      <c r="A50" s="2" t="s">
        <v>29</v>
      </c>
      <c r="B50" s="30" t="s">
        <v>165</v>
      </c>
      <c r="C50" s="30" t="s">
        <v>129</v>
      </c>
      <c r="D50" s="2"/>
      <c r="E50" s="30" t="s">
        <v>2</v>
      </c>
      <c r="F50" s="30" t="s">
        <v>45</v>
      </c>
      <c r="G50" s="2"/>
      <c r="H50" s="30" t="s">
        <v>166</v>
      </c>
      <c r="I50" s="2">
        <v>12</v>
      </c>
      <c r="J50" s="9">
        <v>46023</v>
      </c>
      <c r="K50" s="9">
        <v>46053</v>
      </c>
      <c r="L50" s="2">
        <f t="shared" si="1"/>
        <v>30</v>
      </c>
      <c r="M50" s="35">
        <f>IF(L50=30,
_xlfn.XLOOKUP(E50,Valores!$C$8:$C$9,Valores!$D$8:$D$9),
(_xlfn.XLOOKUP(E50,Valores!$C$8:$C$9,Valores!$D$8:$D$9)/30)*L50
)</f>
        <v>1000</v>
      </c>
    </row>
  </sheetData>
  <autoFilter ref="A1:M31" xr:uid="{00000000-0009-0000-0000-000001000000}">
    <sortState xmlns:xlrd2="http://schemas.microsoft.com/office/spreadsheetml/2017/richdata2" ref="A2:M31">
      <sortCondition ref="B1:B31"/>
    </sortState>
  </autoFilter>
  <conditionalFormatting sqref="B1:B1048576">
    <cfRule type="containsText" dxfId="8" priority="1" operator="containsText" text=" ">
      <formula>NOT(ISERROR(SEARCH(" ",B1)))</formula>
    </cfRule>
  </conditionalFormatting>
  <conditionalFormatting sqref="D1">
    <cfRule type="duplicateValues" dxfId="7" priority="12"/>
  </conditionalFormatting>
  <conditionalFormatting sqref="D2:D20">
    <cfRule type="duplicateValues" dxfId="6" priority="43"/>
  </conditionalFormatting>
  <conditionalFormatting sqref="D21">
    <cfRule type="duplicateValues" dxfId="5" priority="9"/>
  </conditionalFormatting>
  <conditionalFormatting sqref="D22:D25">
    <cfRule type="duplicateValues" dxfId="4" priority="8"/>
  </conditionalFormatting>
  <conditionalFormatting sqref="D26:D31">
    <cfRule type="duplicateValues" dxfId="3" priority="45"/>
  </conditionalFormatting>
  <conditionalFormatting sqref="D32:D50">
    <cfRule type="duplicateValues" dxfId="2" priority="2"/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17"/>
  <sheetViews>
    <sheetView workbookViewId="0">
      <selection activeCell="I19" sqref="I19"/>
    </sheetView>
  </sheetViews>
  <sheetFormatPr defaultColWidth="9" defaultRowHeight="15" x14ac:dyDescent="0.25"/>
  <cols>
    <col min="2" max="2" width="39.5703125" bestFit="1" customWidth="1"/>
    <col min="3" max="3" width="9.28515625" customWidth="1"/>
    <col min="4" max="4" width="25.5703125" customWidth="1"/>
    <col min="5" max="5" width="25.5703125" bestFit="1" customWidth="1"/>
    <col min="6" max="6" width="16.42578125" customWidth="1"/>
    <col min="7" max="7" width="5.5703125" bestFit="1" customWidth="1"/>
    <col min="8" max="8" width="11.7109375" bestFit="1" customWidth="1"/>
    <col min="9" max="9" width="16.5703125" bestFit="1" customWidth="1"/>
    <col min="10" max="10" width="18.7109375" bestFit="1" customWidth="1"/>
    <col min="11" max="11" width="22.140625" bestFit="1" customWidth="1"/>
  </cols>
  <sheetData>
    <row r="1" spans="2:11" x14ac:dyDescent="0.25">
      <c r="B1" s="42" t="s">
        <v>167</v>
      </c>
      <c r="C1" s="43"/>
      <c r="D1" s="43"/>
      <c r="E1" s="43"/>
      <c r="F1" s="43"/>
      <c r="G1" s="43"/>
      <c r="H1" s="43"/>
      <c r="I1" s="43"/>
      <c r="J1" s="43"/>
      <c r="K1" s="43"/>
    </row>
    <row r="2" spans="2:11" x14ac:dyDescent="0.25"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2:11" x14ac:dyDescent="0.25"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2:11" ht="15.6" customHeight="1" x14ac:dyDescent="0.25">
      <c r="B4" s="1" t="s">
        <v>17</v>
      </c>
      <c r="C4" s="1" t="s">
        <v>18</v>
      </c>
      <c r="D4" s="1" t="s">
        <v>168</v>
      </c>
      <c r="E4" s="1" t="s">
        <v>169</v>
      </c>
      <c r="F4" s="1" t="s">
        <v>170</v>
      </c>
      <c r="G4" s="1" t="s">
        <v>27</v>
      </c>
      <c r="H4" s="1" t="s">
        <v>171</v>
      </c>
      <c r="I4" s="1" t="s">
        <v>1</v>
      </c>
      <c r="J4" s="12" t="s">
        <v>172</v>
      </c>
      <c r="K4" s="1" t="s">
        <v>173</v>
      </c>
    </row>
    <row r="5" spans="2:11" ht="15.6" customHeight="1" x14ac:dyDescent="0.25">
      <c r="B5" s="2" t="s">
        <v>174</v>
      </c>
      <c r="C5" s="2" t="s">
        <v>175</v>
      </c>
      <c r="D5" s="2" t="s">
        <v>176</v>
      </c>
      <c r="E5" s="9">
        <v>45778</v>
      </c>
      <c r="F5" s="9">
        <v>45808</v>
      </c>
      <c r="G5" s="2">
        <f t="shared" ref="G5:G17" si="0">F5-E5</f>
        <v>30</v>
      </c>
      <c r="H5" s="6">
        <f t="shared" ref="H5:H17" si="1">I5/30</f>
        <v>30</v>
      </c>
      <c r="I5" s="10">
        <v>900</v>
      </c>
      <c r="J5" s="6">
        <f t="shared" ref="J5:J17" si="2">H5*G5</f>
        <v>900</v>
      </c>
      <c r="K5" s="11">
        <v>23000</v>
      </c>
    </row>
    <row r="6" spans="2:11" ht="15.6" customHeight="1" x14ac:dyDescent="0.25">
      <c r="B6" s="2" t="s">
        <v>174</v>
      </c>
      <c r="C6" s="2" t="s">
        <v>177</v>
      </c>
      <c r="D6" s="2" t="s">
        <v>176</v>
      </c>
      <c r="E6" s="9">
        <v>45778</v>
      </c>
      <c r="F6" s="9">
        <v>45808</v>
      </c>
      <c r="G6" s="2">
        <f t="shared" si="0"/>
        <v>30</v>
      </c>
      <c r="H6" s="6">
        <f t="shared" si="1"/>
        <v>30</v>
      </c>
      <c r="I6" s="10">
        <v>900</v>
      </c>
      <c r="J6" s="6">
        <f t="shared" si="2"/>
        <v>900</v>
      </c>
      <c r="K6" s="11">
        <v>23000</v>
      </c>
    </row>
    <row r="7" spans="2:11" ht="15.6" customHeight="1" x14ac:dyDescent="0.25">
      <c r="B7" s="2" t="s">
        <v>174</v>
      </c>
      <c r="C7" s="2" t="s">
        <v>178</v>
      </c>
      <c r="D7" s="2" t="s">
        <v>176</v>
      </c>
      <c r="E7" s="9">
        <v>45778</v>
      </c>
      <c r="F7" s="9">
        <v>45808</v>
      </c>
      <c r="G7" s="2">
        <f t="shared" si="0"/>
        <v>30</v>
      </c>
      <c r="H7" s="6">
        <f t="shared" si="1"/>
        <v>30</v>
      </c>
      <c r="I7" s="10">
        <v>900</v>
      </c>
      <c r="J7" s="6">
        <f t="shared" si="2"/>
        <v>900</v>
      </c>
      <c r="K7" s="11">
        <v>23000</v>
      </c>
    </row>
    <row r="8" spans="2:11" ht="15.6" customHeight="1" x14ac:dyDescent="0.25">
      <c r="B8" s="2" t="s">
        <v>174</v>
      </c>
      <c r="C8" s="2" t="s">
        <v>178</v>
      </c>
      <c r="D8" s="2" t="s">
        <v>176</v>
      </c>
      <c r="E8" s="9">
        <v>45778</v>
      </c>
      <c r="F8" s="9">
        <v>45808</v>
      </c>
      <c r="G8" s="2">
        <f t="shared" si="0"/>
        <v>30</v>
      </c>
      <c r="H8" s="6">
        <f t="shared" si="1"/>
        <v>30</v>
      </c>
      <c r="I8" s="10">
        <v>900</v>
      </c>
      <c r="J8" s="6">
        <f t="shared" si="2"/>
        <v>900</v>
      </c>
      <c r="K8" s="11">
        <v>23000</v>
      </c>
    </row>
    <row r="9" spans="2:11" ht="15.6" customHeight="1" x14ac:dyDescent="0.25">
      <c r="B9" s="2" t="s">
        <v>174</v>
      </c>
      <c r="C9" s="2" t="s">
        <v>178</v>
      </c>
      <c r="D9" s="2" t="s">
        <v>176</v>
      </c>
      <c r="E9" s="9">
        <v>45778</v>
      </c>
      <c r="F9" s="9">
        <v>45808</v>
      </c>
      <c r="G9" s="2">
        <f t="shared" si="0"/>
        <v>30</v>
      </c>
      <c r="H9" s="6">
        <f t="shared" si="1"/>
        <v>30</v>
      </c>
      <c r="I9" s="10">
        <v>900</v>
      </c>
      <c r="J9" s="6">
        <f t="shared" si="2"/>
        <v>900</v>
      </c>
      <c r="K9" s="11">
        <v>23000</v>
      </c>
    </row>
    <row r="10" spans="2:11" ht="15.6" customHeight="1" x14ac:dyDescent="0.25">
      <c r="B10" s="2" t="s">
        <v>174</v>
      </c>
      <c r="C10" s="2" t="s">
        <v>177</v>
      </c>
      <c r="D10" s="2" t="s">
        <v>176</v>
      </c>
      <c r="E10" s="9">
        <v>45778</v>
      </c>
      <c r="F10" s="9">
        <v>45808</v>
      </c>
      <c r="G10" s="2">
        <f t="shared" si="0"/>
        <v>30</v>
      </c>
      <c r="H10" s="6">
        <f t="shared" si="1"/>
        <v>30</v>
      </c>
      <c r="I10" s="10">
        <v>900</v>
      </c>
      <c r="J10" s="6">
        <f t="shared" si="2"/>
        <v>900</v>
      </c>
      <c r="K10" s="11">
        <v>23000</v>
      </c>
    </row>
    <row r="11" spans="2:11" ht="15.6" customHeight="1" x14ac:dyDescent="0.25">
      <c r="B11" s="2" t="s">
        <v>174</v>
      </c>
      <c r="C11" s="2" t="s">
        <v>177</v>
      </c>
      <c r="D11" s="2" t="s">
        <v>176</v>
      </c>
      <c r="E11" s="9">
        <v>45778</v>
      </c>
      <c r="F11" s="9">
        <v>45808</v>
      </c>
      <c r="G11" s="2">
        <f t="shared" si="0"/>
        <v>30</v>
      </c>
      <c r="H11" s="6">
        <f t="shared" si="1"/>
        <v>30</v>
      </c>
      <c r="I11" s="10">
        <v>900</v>
      </c>
      <c r="J11" s="6">
        <f t="shared" si="2"/>
        <v>900</v>
      </c>
      <c r="K11" s="11">
        <v>23000</v>
      </c>
    </row>
    <row r="12" spans="2:11" ht="15.6" customHeight="1" x14ac:dyDescent="0.25">
      <c r="B12" s="2" t="s">
        <v>174</v>
      </c>
      <c r="C12" s="2" t="s">
        <v>177</v>
      </c>
      <c r="D12" s="2" t="s">
        <v>176</v>
      </c>
      <c r="E12" s="9">
        <v>45778</v>
      </c>
      <c r="F12" s="9">
        <v>45808</v>
      </c>
      <c r="G12" s="2">
        <f t="shared" si="0"/>
        <v>30</v>
      </c>
      <c r="H12" s="6">
        <f t="shared" si="1"/>
        <v>30</v>
      </c>
      <c r="I12" s="10">
        <v>900</v>
      </c>
      <c r="J12" s="6">
        <f t="shared" si="2"/>
        <v>900</v>
      </c>
      <c r="K12" s="11">
        <v>23000</v>
      </c>
    </row>
    <row r="13" spans="2:11" ht="15.6" customHeight="1" x14ac:dyDescent="0.25">
      <c r="B13" s="2" t="s">
        <v>174</v>
      </c>
      <c r="C13" s="2" t="s">
        <v>177</v>
      </c>
      <c r="D13" s="2" t="s">
        <v>176</v>
      </c>
      <c r="E13" s="9">
        <v>45778</v>
      </c>
      <c r="F13" s="9">
        <v>45808</v>
      </c>
      <c r="G13" s="2">
        <f t="shared" si="0"/>
        <v>30</v>
      </c>
      <c r="H13" s="6">
        <f t="shared" si="1"/>
        <v>30</v>
      </c>
      <c r="I13" s="10">
        <v>900</v>
      </c>
      <c r="J13" s="6">
        <f t="shared" si="2"/>
        <v>900</v>
      </c>
      <c r="K13" s="11">
        <v>27500</v>
      </c>
    </row>
    <row r="14" spans="2:11" ht="15.6" customHeight="1" x14ac:dyDescent="0.25">
      <c r="B14" s="2" t="s">
        <v>174</v>
      </c>
      <c r="C14" s="2" t="s">
        <v>177</v>
      </c>
      <c r="D14" s="2" t="s">
        <v>176</v>
      </c>
      <c r="E14" s="9">
        <v>45778</v>
      </c>
      <c r="F14" s="9">
        <v>45808</v>
      </c>
      <c r="G14" s="2">
        <f t="shared" si="0"/>
        <v>30</v>
      </c>
      <c r="H14" s="6">
        <f t="shared" si="1"/>
        <v>30</v>
      </c>
      <c r="I14" s="10">
        <v>900</v>
      </c>
      <c r="J14" s="6">
        <f t="shared" si="2"/>
        <v>900</v>
      </c>
      <c r="K14" s="11">
        <v>27500</v>
      </c>
    </row>
    <row r="15" spans="2:11" ht="15.6" customHeight="1" x14ac:dyDescent="0.25">
      <c r="B15" s="2" t="s">
        <v>174</v>
      </c>
      <c r="C15" s="2" t="s">
        <v>177</v>
      </c>
      <c r="D15" s="2" t="s">
        <v>176</v>
      </c>
      <c r="E15" s="9">
        <v>45778</v>
      </c>
      <c r="F15" s="9">
        <v>45808</v>
      </c>
      <c r="G15" s="2">
        <f t="shared" si="0"/>
        <v>30</v>
      </c>
      <c r="H15" s="6">
        <f t="shared" si="1"/>
        <v>30</v>
      </c>
      <c r="I15" s="10">
        <v>900</v>
      </c>
      <c r="J15" s="6">
        <f t="shared" si="2"/>
        <v>900</v>
      </c>
      <c r="K15" s="11">
        <v>27500</v>
      </c>
    </row>
    <row r="16" spans="2:11" ht="15.6" customHeight="1" x14ac:dyDescent="0.25">
      <c r="B16" s="2" t="s">
        <v>174</v>
      </c>
      <c r="C16" s="2" t="s">
        <v>179</v>
      </c>
      <c r="D16" s="2" t="s">
        <v>4</v>
      </c>
      <c r="E16" s="9">
        <v>45778</v>
      </c>
      <c r="F16" s="9">
        <v>45808</v>
      </c>
      <c r="G16" s="2">
        <f t="shared" si="0"/>
        <v>30</v>
      </c>
      <c r="H16" s="6">
        <f t="shared" si="1"/>
        <v>60</v>
      </c>
      <c r="I16" s="10">
        <v>1800</v>
      </c>
      <c r="J16" s="6">
        <f t="shared" si="2"/>
        <v>1800</v>
      </c>
      <c r="K16" s="11">
        <v>35308</v>
      </c>
    </row>
    <row r="17" spans="2:11" ht="15.6" customHeight="1" x14ac:dyDescent="0.25">
      <c r="B17" s="2" t="s">
        <v>174</v>
      </c>
      <c r="C17" s="2" t="s">
        <v>177</v>
      </c>
      <c r="D17" s="2" t="s">
        <v>4</v>
      </c>
      <c r="E17" s="9">
        <v>45789</v>
      </c>
      <c r="F17" s="9">
        <v>45808</v>
      </c>
      <c r="G17" s="2">
        <f t="shared" si="0"/>
        <v>19</v>
      </c>
      <c r="H17" s="6">
        <f t="shared" si="1"/>
        <v>60</v>
      </c>
      <c r="I17" s="10">
        <v>1800</v>
      </c>
      <c r="J17" s="6">
        <f t="shared" si="2"/>
        <v>1140</v>
      </c>
      <c r="K17" s="11">
        <v>35308</v>
      </c>
    </row>
  </sheetData>
  <autoFilter ref="B4:K4" xr:uid="{00000000-0009-0000-0000-000002000000}"/>
  <mergeCells count="1">
    <mergeCell ref="B1:K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B1:K17"/>
  <sheetViews>
    <sheetView workbookViewId="0">
      <selection activeCell="C7" sqref="C7:C17"/>
    </sheetView>
  </sheetViews>
  <sheetFormatPr defaultColWidth="9" defaultRowHeight="15" x14ac:dyDescent="0.25"/>
  <cols>
    <col min="2" max="2" width="39.5703125" bestFit="1" customWidth="1"/>
    <col min="3" max="3" width="8" bestFit="1" customWidth="1"/>
    <col min="4" max="4" width="24.28515625" bestFit="1" customWidth="1"/>
    <col min="5" max="5" width="21.140625" bestFit="1" customWidth="1"/>
    <col min="6" max="6" width="12.5703125" bestFit="1" customWidth="1"/>
    <col min="7" max="7" width="5.5703125" bestFit="1" customWidth="1"/>
    <col min="8" max="8" width="11.7109375" bestFit="1" customWidth="1"/>
    <col min="9" max="9" width="16.5703125" bestFit="1" customWidth="1"/>
    <col min="10" max="10" width="18.7109375" bestFit="1" customWidth="1"/>
    <col min="11" max="11" width="22.140625" bestFit="1" customWidth="1"/>
  </cols>
  <sheetData>
    <row r="1" spans="2:11" x14ac:dyDescent="0.25">
      <c r="B1" s="42" t="s">
        <v>180</v>
      </c>
      <c r="C1" s="43"/>
      <c r="D1" s="43"/>
      <c r="E1" s="43"/>
      <c r="F1" s="43"/>
      <c r="G1" s="43"/>
      <c r="H1" s="43"/>
      <c r="I1" s="43"/>
      <c r="J1" s="43"/>
      <c r="K1" s="43"/>
    </row>
    <row r="2" spans="2:11" x14ac:dyDescent="0.25"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2:11" x14ac:dyDescent="0.25"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2:11" ht="15.6" customHeight="1" x14ac:dyDescent="0.25">
      <c r="B4" s="1" t="s">
        <v>17</v>
      </c>
      <c r="C4" s="1" t="s">
        <v>18</v>
      </c>
      <c r="D4" s="1" t="s">
        <v>168</v>
      </c>
      <c r="E4" s="1" t="s">
        <v>169</v>
      </c>
      <c r="F4" s="1" t="s">
        <v>170</v>
      </c>
      <c r="G4" s="1" t="s">
        <v>27</v>
      </c>
      <c r="H4" s="1" t="s">
        <v>171</v>
      </c>
      <c r="I4" s="1" t="s">
        <v>1</v>
      </c>
      <c r="J4" s="12" t="s">
        <v>172</v>
      </c>
      <c r="K4" s="1" t="s">
        <v>173</v>
      </c>
    </row>
    <row r="5" spans="2:11" ht="15.6" hidden="1" customHeight="1" x14ac:dyDescent="0.25">
      <c r="B5" s="2" t="s">
        <v>174</v>
      </c>
      <c r="C5" s="2" t="s">
        <v>175</v>
      </c>
      <c r="D5" s="2" t="s">
        <v>176</v>
      </c>
      <c r="E5" s="9">
        <v>45689</v>
      </c>
      <c r="F5" s="9">
        <v>45716</v>
      </c>
      <c r="G5" s="2">
        <f t="shared" ref="G5:G17" si="0">F5-E5</f>
        <v>27</v>
      </c>
      <c r="H5" s="6">
        <f t="shared" ref="H5:H17" si="1">I5/30</f>
        <v>30</v>
      </c>
      <c r="I5" s="10">
        <v>900</v>
      </c>
      <c r="J5" s="6">
        <f t="shared" ref="J5:J17" si="2">H5*G5</f>
        <v>810</v>
      </c>
      <c r="K5" s="11">
        <v>23000</v>
      </c>
    </row>
    <row r="6" spans="2:11" ht="15.6" hidden="1" customHeight="1" x14ac:dyDescent="0.25">
      <c r="B6" s="14" t="s">
        <v>174</v>
      </c>
      <c r="C6" s="14" t="s">
        <v>175</v>
      </c>
      <c r="D6" s="14" t="s">
        <v>176</v>
      </c>
      <c r="E6" s="15">
        <v>45689</v>
      </c>
      <c r="F6" s="15">
        <v>45707</v>
      </c>
      <c r="G6" s="14">
        <f t="shared" si="0"/>
        <v>18</v>
      </c>
      <c r="H6" s="16">
        <f t="shared" si="1"/>
        <v>30</v>
      </c>
      <c r="I6" s="17">
        <v>900</v>
      </c>
      <c r="J6" s="16">
        <f t="shared" si="2"/>
        <v>540</v>
      </c>
      <c r="K6" s="18">
        <v>23000</v>
      </c>
    </row>
    <row r="7" spans="2:11" ht="15.6" customHeight="1" x14ac:dyDescent="0.25">
      <c r="B7" s="14" t="s">
        <v>174</v>
      </c>
      <c r="C7" s="14" t="s">
        <v>177</v>
      </c>
      <c r="D7" s="14" t="s">
        <v>176</v>
      </c>
      <c r="E7" s="15">
        <v>45709</v>
      </c>
      <c r="F7" s="15">
        <v>45716</v>
      </c>
      <c r="G7" s="14">
        <f t="shared" si="0"/>
        <v>7</v>
      </c>
      <c r="H7" s="16">
        <f t="shared" si="1"/>
        <v>30</v>
      </c>
      <c r="I7" s="17">
        <v>900</v>
      </c>
      <c r="J7" s="16">
        <f t="shared" si="2"/>
        <v>210</v>
      </c>
      <c r="K7" s="18">
        <v>23000</v>
      </c>
    </row>
    <row r="8" spans="2:11" ht="15.6" hidden="1" customHeight="1" x14ac:dyDescent="0.25">
      <c r="B8" s="2" t="s">
        <v>174</v>
      </c>
      <c r="C8" s="2" t="s">
        <v>178</v>
      </c>
      <c r="D8" s="2" t="s">
        <v>176</v>
      </c>
      <c r="E8" s="9">
        <v>45689</v>
      </c>
      <c r="F8" s="9">
        <v>45716</v>
      </c>
      <c r="G8" s="2">
        <f t="shared" si="0"/>
        <v>27</v>
      </c>
      <c r="H8" s="6">
        <f t="shared" si="1"/>
        <v>30</v>
      </c>
      <c r="I8" s="10">
        <v>900</v>
      </c>
      <c r="J8" s="6">
        <f t="shared" si="2"/>
        <v>810</v>
      </c>
      <c r="K8" s="11">
        <v>23000</v>
      </c>
    </row>
    <row r="9" spans="2:11" ht="15.6" hidden="1" customHeight="1" x14ac:dyDescent="0.25">
      <c r="B9" s="2" t="s">
        <v>174</v>
      </c>
      <c r="C9" s="2" t="s">
        <v>178</v>
      </c>
      <c r="D9" s="2" t="s">
        <v>176</v>
      </c>
      <c r="E9" s="9">
        <v>45689</v>
      </c>
      <c r="F9" s="9">
        <v>45716</v>
      </c>
      <c r="G9" s="2">
        <f t="shared" si="0"/>
        <v>27</v>
      </c>
      <c r="H9" s="6">
        <f t="shared" si="1"/>
        <v>30</v>
      </c>
      <c r="I9" s="10">
        <v>900</v>
      </c>
      <c r="J9" s="6">
        <f t="shared" si="2"/>
        <v>810</v>
      </c>
      <c r="K9" s="11">
        <v>23000</v>
      </c>
    </row>
    <row r="10" spans="2:11" ht="15.6" hidden="1" customHeight="1" x14ac:dyDescent="0.25">
      <c r="B10" s="2" t="s">
        <v>174</v>
      </c>
      <c r="C10" s="2" t="s">
        <v>178</v>
      </c>
      <c r="D10" s="2" t="s">
        <v>176</v>
      </c>
      <c r="E10" s="9">
        <v>45689</v>
      </c>
      <c r="F10" s="9">
        <v>45716</v>
      </c>
      <c r="G10" s="2">
        <f t="shared" si="0"/>
        <v>27</v>
      </c>
      <c r="H10" s="6">
        <f t="shared" si="1"/>
        <v>30</v>
      </c>
      <c r="I10" s="10">
        <v>900</v>
      </c>
      <c r="J10" s="6">
        <f t="shared" si="2"/>
        <v>810</v>
      </c>
      <c r="K10" s="11">
        <v>23000</v>
      </c>
    </row>
    <row r="11" spans="2:11" ht="15.6" hidden="1" customHeight="1" x14ac:dyDescent="0.25">
      <c r="B11" s="14" t="s">
        <v>174</v>
      </c>
      <c r="C11" s="14" t="s">
        <v>181</v>
      </c>
      <c r="D11" s="14" t="s">
        <v>176</v>
      </c>
      <c r="E11" s="15">
        <v>45689</v>
      </c>
      <c r="F11" s="15">
        <v>45707</v>
      </c>
      <c r="G11" s="14">
        <f t="shared" si="0"/>
        <v>18</v>
      </c>
      <c r="H11" s="16">
        <f t="shared" si="1"/>
        <v>30</v>
      </c>
      <c r="I11" s="17">
        <v>900</v>
      </c>
      <c r="J11" s="16">
        <f t="shared" si="2"/>
        <v>540</v>
      </c>
      <c r="K11" s="18">
        <v>23000</v>
      </c>
    </row>
    <row r="12" spans="2:11" ht="15.6" customHeight="1" x14ac:dyDescent="0.25">
      <c r="B12" s="14" t="s">
        <v>174</v>
      </c>
      <c r="C12" s="14" t="s">
        <v>177</v>
      </c>
      <c r="D12" s="14" t="s">
        <v>176</v>
      </c>
      <c r="E12" s="15">
        <v>45709</v>
      </c>
      <c r="F12" s="15">
        <v>45716</v>
      </c>
      <c r="G12" s="14">
        <f t="shared" si="0"/>
        <v>7</v>
      </c>
      <c r="H12" s="16">
        <f t="shared" si="1"/>
        <v>30</v>
      </c>
      <c r="I12" s="17">
        <v>900</v>
      </c>
      <c r="J12" s="16">
        <f t="shared" si="2"/>
        <v>210</v>
      </c>
      <c r="K12" s="18">
        <v>23000</v>
      </c>
    </row>
    <row r="13" spans="2:11" ht="15.6" customHeight="1" x14ac:dyDescent="0.25">
      <c r="B13" s="2" t="s">
        <v>174</v>
      </c>
      <c r="C13" s="2" t="s">
        <v>177</v>
      </c>
      <c r="D13" s="2" t="s">
        <v>176</v>
      </c>
      <c r="E13" s="9">
        <v>45689</v>
      </c>
      <c r="F13" s="9">
        <v>45716</v>
      </c>
      <c r="G13" s="2">
        <f t="shared" si="0"/>
        <v>27</v>
      </c>
      <c r="H13" s="6">
        <f t="shared" si="1"/>
        <v>30</v>
      </c>
      <c r="I13" s="10">
        <v>900</v>
      </c>
      <c r="J13" s="6">
        <f t="shared" si="2"/>
        <v>810</v>
      </c>
      <c r="K13" s="11">
        <v>23000</v>
      </c>
    </row>
    <row r="14" spans="2:11" ht="15.6" customHeight="1" x14ac:dyDescent="0.25">
      <c r="B14" s="2" t="s">
        <v>174</v>
      </c>
      <c r="C14" s="2" t="s">
        <v>177</v>
      </c>
      <c r="D14" s="2" t="s">
        <v>176</v>
      </c>
      <c r="E14" s="9">
        <v>45689</v>
      </c>
      <c r="F14" s="9">
        <v>45716</v>
      </c>
      <c r="G14" s="2">
        <f t="shared" si="0"/>
        <v>27</v>
      </c>
      <c r="H14" s="6">
        <f t="shared" si="1"/>
        <v>30</v>
      </c>
      <c r="I14" s="10">
        <v>900</v>
      </c>
      <c r="J14" s="6">
        <f t="shared" si="2"/>
        <v>810</v>
      </c>
      <c r="K14" s="11">
        <v>23000</v>
      </c>
    </row>
    <row r="15" spans="2:11" ht="15.6" customHeight="1" x14ac:dyDescent="0.25">
      <c r="B15" s="2" t="s">
        <v>174</v>
      </c>
      <c r="C15" s="2" t="s">
        <v>177</v>
      </c>
      <c r="D15" s="2" t="s">
        <v>176</v>
      </c>
      <c r="E15" s="9">
        <v>45702</v>
      </c>
      <c r="F15" s="9">
        <v>45716</v>
      </c>
      <c r="G15" s="2">
        <f t="shared" si="0"/>
        <v>14</v>
      </c>
      <c r="H15" s="6">
        <f t="shared" si="1"/>
        <v>30</v>
      </c>
      <c r="I15" s="10">
        <v>900</v>
      </c>
      <c r="J15" s="6">
        <f t="shared" si="2"/>
        <v>420</v>
      </c>
      <c r="K15" s="11">
        <v>27500</v>
      </c>
    </row>
    <row r="16" spans="2:11" ht="15.6" customHeight="1" x14ac:dyDescent="0.25">
      <c r="B16" s="2" t="s">
        <v>174</v>
      </c>
      <c r="C16" s="2" t="s">
        <v>177</v>
      </c>
      <c r="D16" s="2" t="s">
        <v>176</v>
      </c>
      <c r="E16" s="9">
        <v>45702</v>
      </c>
      <c r="F16" s="9">
        <v>45716</v>
      </c>
      <c r="G16" s="2">
        <f t="shared" si="0"/>
        <v>14</v>
      </c>
      <c r="H16" s="6">
        <f t="shared" si="1"/>
        <v>30</v>
      </c>
      <c r="I16" s="10">
        <v>900</v>
      </c>
      <c r="J16" s="6">
        <f t="shared" si="2"/>
        <v>420</v>
      </c>
      <c r="K16" s="11">
        <v>27500</v>
      </c>
    </row>
    <row r="17" spans="2:11" ht="15.6" customHeight="1" x14ac:dyDescent="0.25">
      <c r="B17" s="2" t="s">
        <v>174</v>
      </c>
      <c r="C17" s="2" t="s">
        <v>177</v>
      </c>
      <c r="D17" s="2" t="s">
        <v>176</v>
      </c>
      <c r="E17" s="9">
        <v>45702</v>
      </c>
      <c r="F17" s="9">
        <v>45716</v>
      </c>
      <c r="G17" s="2">
        <f t="shared" si="0"/>
        <v>14</v>
      </c>
      <c r="H17" s="6">
        <f t="shared" si="1"/>
        <v>30</v>
      </c>
      <c r="I17" s="10">
        <v>900</v>
      </c>
      <c r="J17" s="6">
        <f t="shared" si="2"/>
        <v>420</v>
      </c>
      <c r="K17" s="11">
        <v>27500</v>
      </c>
    </row>
  </sheetData>
  <autoFilter ref="B4:K17" xr:uid="{00000000-0009-0000-0000-000003000000}">
    <filterColumn colId="1">
      <filters>
        <filter val="OS 996"/>
      </filters>
    </filterColumn>
  </autoFilter>
  <mergeCells count="1">
    <mergeCell ref="B1:K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B1:P18"/>
  <sheetViews>
    <sheetView workbookViewId="0">
      <selection activeCell="C7" sqref="C7:C17"/>
    </sheetView>
  </sheetViews>
  <sheetFormatPr defaultColWidth="8.7109375" defaultRowHeight="15" x14ac:dyDescent="0.25"/>
  <cols>
    <col min="2" max="2" width="39.5703125" bestFit="1" customWidth="1"/>
    <col min="3" max="3" width="8" bestFit="1" customWidth="1"/>
    <col min="4" max="4" width="10.7109375" bestFit="1" customWidth="1"/>
    <col min="5" max="5" width="22.28515625" bestFit="1" customWidth="1"/>
    <col min="6" max="6" width="35.28515625" bestFit="1" customWidth="1"/>
    <col min="7" max="7" width="22.28515625" bestFit="1" customWidth="1"/>
    <col min="8" max="8" width="21.140625" bestFit="1" customWidth="1"/>
    <col min="9" max="9" width="12.5703125" bestFit="1" customWidth="1"/>
    <col min="10" max="10" width="5.5703125" bestFit="1" customWidth="1"/>
    <col min="11" max="11" width="29.28515625" bestFit="1" customWidth="1"/>
    <col min="12" max="12" width="14.5703125" bestFit="1" customWidth="1"/>
    <col min="13" max="13" width="16.5703125" bestFit="1" customWidth="1"/>
    <col min="14" max="14" width="18.7109375" bestFit="1" customWidth="1"/>
    <col min="15" max="15" width="19" bestFit="1" customWidth="1"/>
    <col min="16" max="16" width="22.140625" bestFit="1" customWidth="1"/>
  </cols>
  <sheetData>
    <row r="1" spans="2:16" x14ac:dyDescent="0.25">
      <c r="B1" s="45" t="s">
        <v>180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2:16" x14ac:dyDescent="0.25"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</row>
    <row r="3" spans="2:16" x14ac:dyDescent="0.25"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</row>
    <row r="4" spans="2:16" ht="15.6" customHeight="1" x14ac:dyDescent="0.25">
      <c r="B4" s="1" t="s">
        <v>17</v>
      </c>
      <c r="C4" s="1" t="s">
        <v>18</v>
      </c>
      <c r="D4" s="1" t="s">
        <v>20</v>
      </c>
      <c r="E4" s="1" t="s">
        <v>21</v>
      </c>
      <c r="F4" s="1" t="s">
        <v>0</v>
      </c>
      <c r="G4" s="1" t="s">
        <v>23</v>
      </c>
      <c r="H4" s="1" t="s">
        <v>169</v>
      </c>
      <c r="I4" s="1" t="s">
        <v>170</v>
      </c>
      <c r="J4" s="1" t="s">
        <v>27</v>
      </c>
      <c r="K4" s="1" t="s">
        <v>182</v>
      </c>
      <c r="L4" s="1" t="s">
        <v>171</v>
      </c>
      <c r="M4" s="1" t="s">
        <v>1</v>
      </c>
      <c r="N4" s="1" t="s">
        <v>172</v>
      </c>
      <c r="O4" s="1" t="s">
        <v>183</v>
      </c>
      <c r="P4" s="1" t="s">
        <v>173</v>
      </c>
    </row>
    <row r="5" spans="2:16" ht="15.6" hidden="1" customHeight="1" x14ac:dyDescent="0.25">
      <c r="B5" s="2" t="s">
        <v>174</v>
      </c>
      <c r="C5" s="2" t="s">
        <v>184</v>
      </c>
      <c r="D5" s="2" t="s">
        <v>185</v>
      </c>
      <c r="E5" s="2" t="s">
        <v>5</v>
      </c>
      <c r="F5" s="3" t="s">
        <v>186</v>
      </c>
      <c r="G5" s="2" t="s">
        <v>187</v>
      </c>
      <c r="H5" s="9">
        <v>45689</v>
      </c>
      <c r="I5" s="9">
        <v>45716</v>
      </c>
      <c r="J5" s="2">
        <f t="shared" ref="J5:J18" si="0">I5-H5</f>
        <v>27</v>
      </c>
      <c r="K5" s="2"/>
      <c r="L5" s="8">
        <f t="shared" ref="L5:L18" si="1">M5/30</f>
        <v>126.66666666666667</v>
      </c>
      <c r="M5" s="6">
        <v>3800</v>
      </c>
      <c r="N5" s="8">
        <f t="shared" ref="N5:N18" si="2">J5*L5</f>
        <v>3420</v>
      </c>
      <c r="O5" s="2">
        <v>2024</v>
      </c>
      <c r="P5" s="4">
        <v>78992.11</v>
      </c>
    </row>
    <row r="6" spans="2:16" ht="15.6" hidden="1" customHeight="1" x14ac:dyDescent="0.25">
      <c r="B6" s="2" t="s">
        <v>174</v>
      </c>
      <c r="C6" s="2" t="s">
        <v>188</v>
      </c>
      <c r="D6" s="2" t="s">
        <v>189</v>
      </c>
      <c r="E6" s="2" t="s">
        <v>15</v>
      </c>
      <c r="F6" s="3" t="s">
        <v>190</v>
      </c>
      <c r="G6" s="2"/>
      <c r="H6" s="9">
        <v>45689</v>
      </c>
      <c r="I6" s="9">
        <v>45716</v>
      </c>
      <c r="J6" s="2">
        <f t="shared" si="0"/>
        <v>27</v>
      </c>
      <c r="K6" s="2"/>
      <c r="L6" s="8">
        <f t="shared" si="1"/>
        <v>2000</v>
      </c>
      <c r="M6" s="6">
        <v>60000</v>
      </c>
      <c r="N6" s="8">
        <f t="shared" si="2"/>
        <v>54000</v>
      </c>
      <c r="O6" s="2">
        <v>2024</v>
      </c>
      <c r="P6" s="4">
        <v>1742640</v>
      </c>
    </row>
    <row r="7" spans="2:16" ht="15.6" hidden="1" customHeight="1" x14ac:dyDescent="0.25">
      <c r="B7" s="2" t="s">
        <v>174</v>
      </c>
      <c r="C7" s="2" t="s">
        <v>188</v>
      </c>
      <c r="D7" s="2" t="s">
        <v>191</v>
      </c>
      <c r="E7" s="2" t="s">
        <v>3</v>
      </c>
      <c r="F7" s="3" t="s">
        <v>192</v>
      </c>
      <c r="G7" s="2" t="s">
        <v>193</v>
      </c>
      <c r="H7" s="9">
        <v>45689</v>
      </c>
      <c r="I7" s="9">
        <v>45716</v>
      </c>
      <c r="J7" s="2">
        <f t="shared" si="0"/>
        <v>27</v>
      </c>
      <c r="K7" s="7"/>
      <c r="L7" s="8">
        <f t="shared" si="1"/>
        <v>100</v>
      </c>
      <c r="M7" s="6">
        <v>3000</v>
      </c>
      <c r="N7" s="8">
        <f t="shared" si="2"/>
        <v>2700</v>
      </c>
      <c r="O7" s="2">
        <v>2024</v>
      </c>
      <c r="P7" s="4">
        <v>77112.460000000006</v>
      </c>
    </row>
    <row r="8" spans="2:16" ht="15.6" hidden="1" customHeight="1" x14ac:dyDescent="0.25">
      <c r="B8" s="2" t="s">
        <v>174</v>
      </c>
      <c r="C8" s="2" t="s">
        <v>188</v>
      </c>
      <c r="D8" s="2" t="s">
        <v>194</v>
      </c>
      <c r="E8" s="2" t="s">
        <v>11</v>
      </c>
      <c r="F8" s="3" t="s">
        <v>195</v>
      </c>
      <c r="G8" s="2" t="s">
        <v>196</v>
      </c>
      <c r="H8" s="9">
        <v>45689</v>
      </c>
      <c r="I8" s="9">
        <v>45716</v>
      </c>
      <c r="J8" s="2">
        <f t="shared" si="0"/>
        <v>27</v>
      </c>
      <c r="K8" s="2"/>
      <c r="L8" s="8">
        <f t="shared" si="1"/>
        <v>400</v>
      </c>
      <c r="M8" s="6">
        <v>12000</v>
      </c>
      <c r="N8" s="8">
        <f t="shared" si="2"/>
        <v>10800</v>
      </c>
      <c r="O8" s="2">
        <v>2024</v>
      </c>
      <c r="P8" s="4">
        <v>439000</v>
      </c>
    </row>
    <row r="9" spans="2:16" ht="15.6" hidden="1" customHeight="1" x14ac:dyDescent="0.25">
      <c r="B9" s="2" t="s">
        <v>174</v>
      </c>
      <c r="C9" s="2" t="s">
        <v>188</v>
      </c>
      <c r="D9" s="2" t="s">
        <v>197</v>
      </c>
      <c r="E9" s="2" t="s">
        <v>11</v>
      </c>
      <c r="F9" s="3" t="s">
        <v>195</v>
      </c>
      <c r="G9" s="2" t="s">
        <v>198</v>
      </c>
      <c r="H9" s="9">
        <v>45689</v>
      </c>
      <c r="I9" s="9">
        <v>45716</v>
      </c>
      <c r="J9" s="2">
        <f t="shared" si="0"/>
        <v>27</v>
      </c>
      <c r="K9" s="2"/>
      <c r="L9" s="8">
        <f t="shared" si="1"/>
        <v>400</v>
      </c>
      <c r="M9" s="6">
        <v>12000</v>
      </c>
      <c r="N9" s="8">
        <f t="shared" si="2"/>
        <v>10800</v>
      </c>
      <c r="O9" s="2">
        <v>2024</v>
      </c>
      <c r="P9" s="4">
        <v>439000</v>
      </c>
    </row>
    <row r="10" spans="2:16" ht="15.6" hidden="1" customHeight="1" x14ac:dyDescent="0.25">
      <c r="B10" s="2" t="s">
        <v>174</v>
      </c>
      <c r="C10" s="2" t="s">
        <v>188</v>
      </c>
      <c r="D10" s="2" t="s">
        <v>199</v>
      </c>
      <c r="E10" s="2" t="s">
        <v>5</v>
      </c>
      <c r="F10" s="3" t="s">
        <v>186</v>
      </c>
      <c r="G10" s="2" t="s">
        <v>200</v>
      </c>
      <c r="H10" s="9">
        <v>45689</v>
      </c>
      <c r="I10" s="9">
        <v>45716</v>
      </c>
      <c r="J10" s="2">
        <f t="shared" si="0"/>
        <v>27</v>
      </c>
      <c r="K10" s="2"/>
      <c r="L10" s="8">
        <f t="shared" si="1"/>
        <v>126.66666666666667</v>
      </c>
      <c r="M10" s="6">
        <v>3800</v>
      </c>
      <c r="N10" s="8">
        <f t="shared" si="2"/>
        <v>3420</v>
      </c>
      <c r="O10" s="2">
        <v>2024</v>
      </c>
      <c r="P10" s="4">
        <v>78992.11</v>
      </c>
    </row>
    <row r="11" spans="2:16" ht="15.6" hidden="1" customHeight="1" x14ac:dyDescent="0.25">
      <c r="B11" s="14" t="s">
        <v>174</v>
      </c>
      <c r="C11" s="14" t="s">
        <v>201</v>
      </c>
      <c r="D11" s="14" t="s">
        <v>202</v>
      </c>
      <c r="E11" s="14" t="s">
        <v>3</v>
      </c>
      <c r="F11" s="20" t="s">
        <v>192</v>
      </c>
      <c r="G11" s="14" t="s">
        <v>203</v>
      </c>
      <c r="H11" s="15">
        <v>45689</v>
      </c>
      <c r="I11" s="15">
        <v>45695</v>
      </c>
      <c r="J11" s="14">
        <f t="shared" si="0"/>
        <v>6</v>
      </c>
      <c r="K11" s="14"/>
      <c r="L11" s="21">
        <f t="shared" si="1"/>
        <v>100</v>
      </c>
      <c r="M11" s="16">
        <v>3000</v>
      </c>
      <c r="N11" s="21">
        <f t="shared" si="2"/>
        <v>600</v>
      </c>
      <c r="O11" s="14">
        <v>2024</v>
      </c>
      <c r="P11" s="22">
        <v>77112.460000000006</v>
      </c>
    </row>
    <row r="12" spans="2:16" ht="15.6" hidden="1" customHeight="1" x14ac:dyDescent="0.25">
      <c r="B12" s="14" t="s">
        <v>174</v>
      </c>
      <c r="C12" s="14" t="s">
        <v>179</v>
      </c>
      <c r="D12" s="14" t="s">
        <v>202</v>
      </c>
      <c r="E12" s="14" t="s">
        <v>3</v>
      </c>
      <c r="F12" s="20" t="s">
        <v>192</v>
      </c>
      <c r="G12" s="14" t="s">
        <v>203</v>
      </c>
      <c r="H12" s="15">
        <v>45696</v>
      </c>
      <c r="I12" s="15">
        <v>45716</v>
      </c>
      <c r="J12" s="14">
        <f t="shared" si="0"/>
        <v>20</v>
      </c>
      <c r="K12" s="14"/>
      <c r="L12" s="21">
        <f t="shared" si="1"/>
        <v>100</v>
      </c>
      <c r="M12" s="16">
        <v>3000</v>
      </c>
      <c r="N12" s="21">
        <f t="shared" si="2"/>
        <v>2000</v>
      </c>
      <c r="O12" s="14">
        <v>2024</v>
      </c>
      <c r="P12" s="22">
        <v>77112.460000000006</v>
      </c>
    </row>
    <row r="13" spans="2:16" ht="15.6" hidden="1" customHeight="1" x14ac:dyDescent="0.25">
      <c r="B13" s="2" t="s">
        <v>174</v>
      </c>
      <c r="C13" s="2" t="s">
        <v>178</v>
      </c>
      <c r="D13" s="2" t="s">
        <v>204</v>
      </c>
      <c r="E13" s="2" t="s">
        <v>205</v>
      </c>
      <c r="F13" s="3" t="s">
        <v>206</v>
      </c>
      <c r="G13" s="2" t="s">
        <v>207</v>
      </c>
      <c r="H13" s="9">
        <v>45689</v>
      </c>
      <c r="I13" s="9">
        <v>45716</v>
      </c>
      <c r="J13" s="2">
        <f t="shared" si="0"/>
        <v>27</v>
      </c>
      <c r="K13" s="2"/>
      <c r="L13" s="8">
        <f t="shared" si="1"/>
        <v>600</v>
      </c>
      <c r="M13" s="6">
        <v>18000</v>
      </c>
      <c r="N13" s="8">
        <f t="shared" si="2"/>
        <v>16200</v>
      </c>
      <c r="O13" s="2">
        <v>2019</v>
      </c>
      <c r="P13" s="4">
        <v>520000</v>
      </c>
    </row>
    <row r="14" spans="2:16" ht="15.6" hidden="1" customHeight="1" x14ac:dyDescent="0.25">
      <c r="B14" s="2" t="s">
        <v>174</v>
      </c>
      <c r="C14" s="2" t="s">
        <v>178</v>
      </c>
      <c r="D14" s="2" t="s">
        <v>208</v>
      </c>
      <c r="E14" s="2" t="s">
        <v>3</v>
      </c>
      <c r="F14" s="3" t="s">
        <v>192</v>
      </c>
      <c r="G14" s="2" t="s">
        <v>209</v>
      </c>
      <c r="H14" s="9">
        <v>45689</v>
      </c>
      <c r="I14" s="9">
        <v>45716</v>
      </c>
      <c r="J14" s="2">
        <f t="shared" si="0"/>
        <v>27</v>
      </c>
      <c r="K14" s="2"/>
      <c r="L14" s="8">
        <f t="shared" si="1"/>
        <v>100</v>
      </c>
      <c r="M14" s="6">
        <v>3000</v>
      </c>
      <c r="N14" s="8">
        <f t="shared" si="2"/>
        <v>2700</v>
      </c>
      <c r="O14" s="2">
        <v>2024</v>
      </c>
      <c r="P14" s="4">
        <v>77112.460000000006</v>
      </c>
    </row>
    <row r="15" spans="2:16" ht="15.6" customHeight="1" x14ac:dyDescent="0.25">
      <c r="B15" s="2" t="s">
        <v>174</v>
      </c>
      <c r="C15" s="2" t="s">
        <v>177</v>
      </c>
      <c r="D15" s="2" t="s">
        <v>210</v>
      </c>
      <c r="E15" s="2" t="s">
        <v>11</v>
      </c>
      <c r="F15" s="3" t="s">
        <v>195</v>
      </c>
      <c r="G15" s="2" t="s">
        <v>211</v>
      </c>
      <c r="H15" s="9">
        <v>45689</v>
      </c>
      <c r="I15" s="9">
        <v>45716</v>
      </c>
      <c r="J15" s="2">
        <f t="shared" si="0"/>
        <v>27</v>
      </c>
      <c r="K15" s="2"/>
      <c r="L15" s="8">
        <f t="shared" si="1"/>
        <v>400</v>
      </c>
      <c r="M15" s="6">
        <v>12000</v>
      </c>
      <c r="N15" s="8">
        <f t="shared" si="2"/>
        <v>10800</v>
      </c>
      <c r="O15" s="2">
        <v>2024</v>
      </c>
      <c r="P15" s="4">
        <v>439000</v>
      </c>
    </row>
    <row r="16" spans="2:16" ht="15.6" customHeight="1" x14ac:dyDescent="0.25">
      <c r="B16" s="2" t="s">
        <v>174</v>
      </c>
      <c r="C16" s="2" t="s">
        <v>177</v>
      </c>
      <c r="D16" s="2" t="s">
        <v>212</v>
      </c>
      <c r="E16" s="2" t="s">
        <v>5</v>
      </c>
      <c r="F16" s="3" t="s">
        <v>186</v>
      </c>
      <c r="G16" s="2" t="s">
        <v>213</v>
      </c>
      <c r="H16" s="9">
        <v>45689</v>
      </c>
      <c r="I16" s="9">
        <v>45716</v>
      </c>
      <c r="J16" s="2">
        <f t="shared" si="0"/>
        <v>27</v>
      </c>
      <c r="K16" s="7"/>
      <c r="L16" s="8">
        <f t="shared" si="1"/>
        <v>126.66666666666667</v>
      </c>
      <c r="M16" s="6">
        <v>3800</v>
      </c>
      <c r="N16" s="8">
        <f t="shared" si="2"/>
        <v>3420</v>
      </c>
      <c r="O16" s="2">
        <v>2024</v>
      </c>
      <c r="P16" s="4">
        <v>78992.11</v>
      </c>
    </row>
    <row r="17" spans="2:16" ht="15.6" hidden="1" customHeight="1" x14ac:dyDescent="0.25">
      <c r="B17" s="2" t="s">
        <v>174</v>
      </c>
      <c r="C17" s="2" t="s">
        <v>178</v>
      </c>
      <c r="D17" s="2" t="s">
        <v>214</v>
      </c>
      <c r="E17" s="2" t="s">
        <v>205</v>
      </c>
      <c r="F17" s="3" t="s">
        <v>215</v>
      </c>
      <c r="G17" s="2" t="s">
        <v>216</v>
      </c>
      <c r="H17" s="9">
        <v>45698</v>
      </c>
      <c r="I17" s="9">
        <v>45716</v>
      </c>
      <c r="J17" s="2">
        <f t="shared" si="0"/>
        <v>18</v>
      </c>
      <c r="K17" s="13"/>
      <c r="L17" s="8">
        <f t="shared" si="1"/>
        <v>600</v>
      </c>
      <c r="M17" s="6">
        <v>18000</v>
      </c>
      <c r="N17" s="19">
        <f t="shared" si="2"/>
        <v>10800</v>
      </c>
      <c r="O17" s="2">
        <v>2019</v>
      </c>
      <c r="P17" s="4">
        <v>469000</v>
      </c>
    </row>
    <row r="18" spans="2:16" ht="15.6" hidden="1" customHeight="1" x14ac:dyDescent="0.25">
      <c r="B18" s="2" t="s">
        <v>174</v>
      </c>
      <c r="C18" s="2" t="s">
        <v>178</v>
      </c>
      <c r="D18" s="2" t="s">
        <v>217</v>
      </c>
      <c r="E18" s="2" t="s">
        <v>14</v>
      </c>
      <c r="F18" s="3" t="s">
        <v>218</v>
      </c>
      <c r="G18" s="2" t="s">
        <v>219</v>
      </c>
      <c r="H18" s="9">
        <v>45698</v>
      </c>
      <c r="I18" s="9">
        <v>45716</v>
      </c>
      <c r="J18" s="2">
        <f t="shared" si="0"/>
        <v>18</v>
      </c>
      <c r="K18" s="13"/>
      <c r="L18" s="8">
        <f t="shared" si="1"/>
        <v>700</v>
      </c>
      <c r="M18" s="6">
        <v>21000</v>
      </c>
      <c r="N18" s="19">
        <f t="shared" si="2"/>
        <v>12600</v>
      </c>
      <c r="O18" s="2">
        <v>2024</v>
      </c>
      <c r="P18" s="4">
        <v>1018000</v>
      </c>
    </row>
  </sheetData>
  <autoFilter ref="B4:P18" xr:uid="{00000000-0009-0000-0000-000004000000}">
    <filterColumn colId="1">
      <filters>
        <filter val="OS 996"/>
      </filters>
    </filterColumn>
  </autoFilter>
  <mergeCells count="1">
    <mergeCell ref="B1:P3"/>
  </mergeCells>
  <conditionalFormatting sqref="D4:D10 D13:D18">
    <cfRule type="duplicateValues" dxfId="1" priority="2"/>
  </conditionalFormatting>
  <conditionalFormatting sqref="D11:D1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Valores</vt:lpstr>
      <vt:lpstr>Cobrança 02.2026</vt:lpstr>
      <vt:lpstr>Planilha1</vt:lpstr>
      <vt:lpstr>CONT 02-2025</vt:lpstr>
      <vt:lpstr>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Silva Xisto</dc:creator>
  <cp:lastModifiedBy>Vinícius Azevedo</cp:lastModifiedBy>
  <dcterms:created xsi:type="dcterms:W3CDTF">2024-12-13T16:55:24Z</dcterms:created>
  <dcterms:modified xsi:type="dcterms:W3CDTF">2026-03-04T02:07:06Z</dcterms:modified>
</cp:coreProperties>
</file>